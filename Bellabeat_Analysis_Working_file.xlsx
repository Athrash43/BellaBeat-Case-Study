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_merged" sheetId="1" r:id="rId5"/>
    <sheet state="visible" name="sleepDay_merged" sheetId="2" r:id="rId6"/>
    <sheet state="visible" name="daily_summary" sheetId="3" r:id="rId7"/>
    <sheet state="visible" name="sleep_summary" sheetId="4" r:id="rId8"/>
    <sheet state="visible" name="Combined_User_Summary" sheetId="5" r:id="rId9"/>
    <sheet state="visible" name="Analysis_summary" sheetId="6" r:id="rId10"/>
    <sheet state="visible" name="segment_summary" sheetId="7" r:id="rId11"/>
    <sheet state="visible" name="Pivot Table 1" sheetId="8" r:id="rId12"/>
    <sheet state="visible" name="Pivot Table 3" sheetId="9" r:id="rId13"/>
    <sheet state="hidden" name="Pivot_Tables" sheetId="10" r:id="rId14"/>
  </sheets>
  <definedNames>
    <definedName hidden="1" localSheetId="1" name="_xlnm._FilterDatabase">sleepDay_merged!$A$1:$AA$414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<sst xmlns="http://schemas.openxmlformats.org/spreadsheetml/2006/main" count="103" uniqueCount="63">
  <si>
    <t>Id</t>
  </si>
  <si>
    <t>ActivityDate</t>
  </si>
  <si>
    <t>CleanDate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</si>
  <si>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</si>
  <si>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</si>
  <si>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</si>
  <si>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</si>
  <si>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</si>
  <si>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</si>
  <si>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</si>
  <si>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</si>
  <si>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</si>
  <si>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</si>
  <si>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</si>
  <si>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</si>
  <si>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</si>
  <si>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SleepDay</t>
  </si>
  <si>
    <t>TotalSleepRecords</t>
  </si>
  <si>
    <t>TotalMinutesAsleep</t>
  </si>
  <si>
    <t>TotalTimeInBed</t>
  </si>
  <si>
    <t>MinutesAwakeInBed</t>
  </si>
  <si>
    <t>AvgSteps</t>
  </si>
  <si>
    <t>AvgCalories</t>
  </si>
  <si>
    <t>AvgDistance</t>
  </si>
  <si>
    <t>DaysTracked</t>
  </si>
  <si>
    <t>DataQualityFlag</t>
  </si>
  <si>
    <t>AvgMinutesAsleep</t>
  </si>
  <si>
    <t>AvgHoursAsleep</t>
  </si>
  <si>
    <t>AvgTimeInBed</t>
  </si>
  <si>
    <t>AvgMinutesAwakeInBed</t>
  </si>
  <si>
    <t>SleepDaysTracked</t>
  </si>
  <si>
    <t>SleepDataFlag</t>
  </si>
  <si>
    <t>ActivityDataFlag</t>
  </si>
  <si>
    <t>ActivityLevel</t>
  </si>
  <si>
    <t>Metric</t>
  </si>
  <si>
    <t>Total users in activity data</t>
  </si>
  <si>
    <t>Users with sleep data</t>
  </si>
  <si>
    <t>Avg daily steps</t>
  </si>
  <si>
    <t>Median daily steps</t>
  </si>
  <si>
    <t>Avg daily calories</t>
  </si>
  <si>
    <t>Avg daily distance</t>
  </si>
  <si>
    <t>Avg hours asleep</t>
  </si>
  <si>
    <t>Median hours asleep</t>
  </si>
  <si>
    <t>Avg minutes awake in bed</t>
  </si>
  <si>
    <t>Users flagged for activity data issues</t>
  </si>
  <si>
    <t>Users flagged for sleep data quality issues</t>
  </si>
  <si>
    <t>UserCount</t>
  </si>
  <si>
    <t>UsersWithSleepData</t>
  </si>
  <si>
    <t>UsersWithoutSleepData</t>
  </si>
  <si>
    <t>Low</t>
  </si>
  <si>
    <t>Moderate</t>
  </si>
  <si>
    <t>High</t>
  </si>
  <si>
    <t>COUNTA of Id</t>
  </si>
  <si>
    <t>AVERAGE of AvgSteps</t>
  </si>
  <si>
    <t>AVERAGE of AvgCalories</t>
  </si>
  <si>
    <t>AVERAGE of AvgDistance</t>
  </si>
  <si>
    <t>AVERAGE of AvgHoursAsleep</t>
  </si>
  <si>
    <t>AVERAGE of AvgMinutesAwakeInBed</t>
  </si>
  <si>
    <t>Grand Total</t>
  </si>
  <si>
    <t>Low sleep records</t>
  </si>
  <si>
    <t>No sleep data</t>
  </si>
  <si>
    <t>OK</t>
  </si>
  <si>
    <t>Possible outlier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</si>
</sst>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 am/p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4" xfId="0" applyFont="1" applyNumberFormat="1"/>
    <xf borderId="0" fillId="0" fontId="3" numFmtId="0" xfId="0" applyAlignment="1" applyFont="1">
      <alignment readingOrder="0"/>
    </xf>
    <xf borderId="0" fillId="0" fontId="2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Steps By Activity 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#,##0" sourceLinked="0"/>
            <c:txPr>
              <a:bodyPr/>
              <a:lstStyle/>
              <a:p>
                <a:pPr lvl="0">
                  <a:defRPr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segment_summary!$A$2:$A$4</c:f>
            </c:strRef>
          </c:cat>
          <c:val>
            <c:numRef>
              <c:f>segment_summary!$C$2:$C$4</c:f>
              <c:numCache/>
            </c:numRef>
          </c:val>
        </c:ser>
        <c:axId val="1293709877"/>
        <c:axId val="2123691506"/>
      </c:barChart>
      <c:catAx>
        <c:axId val="1293709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691506"/>
      </c:catAx>
      <c:valAx>
        <c:axId val="2123691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Steps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709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Calories Burned By Activity 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#,##0" sourceLinked="0"/>
            <c:txPr>
              <a:bodyPr/>
              <a:lstStyle/>
              <a:p>
                <a:pPr lvl="0">
                  <a:defRPr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segment_summary!$A$2:$A$4</c:f>
            </c:strRef>
          </c:cat>
          <c:val>
            <c:numRef>
              <c:f>segment_summary!$D$2:$D$4</c:f>
              <c:numCache/>
            </c:numRef>
          </c:val>
        </c:ser>
        <c:axId val="1953834912"/>
        <c:axId val="61712400"/>
      </c:barChart>
      <c:catAx>
        <c:axId val="1953834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12400"/>
      </c:catAx>
      <c:valAx>
        <c:axId val="61712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Calories Burned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834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Sleep Hours By Activity 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segment_summary!$A$2:$A$4</c:f>
            </c:strRef>
          </c:cat>
          <c:val>
            <c:numRef>
              <c:f>segment_summary!$F$2:$F$4</c:f>
              <c:numCache/>
            </c:numRef>
          </c:val>
        </c:ser>
        <c:axId val="1697604320"/>
        <c:axId val="432198431"/>
      </c:barChart>
      <c:catAx>
        <c:axId val="169760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198431"/>
      </c:catAx>
      <c:valAx>
        <c:axId val="432198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 Asleep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604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Sleep Data Quality By Activity Level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3'!$B$8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3'!$A$9:$A$11</c:f>
            </c:strRef>
          </c:cat>
          <c:val>
            <c:numRef>
              <c:f>'Pivot Table 3'!$B$9:$B$11</c:f>
              <c:numCache/>
            </c:numRef>
          </c:val>
        </c:ser>
        <c:ser>
          <c:idx val="1"/>
          <c:order val="1"/>
          <c:tx>
            <c:strRef>
              <c:f>'Pivot Table 3'!$C$8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3'!$A$9:$A$11</c:f>
            </c:strRef>
          </c:cat>
          <c:val>
            <c:numRef>
              <c:f>'Pivot Table 3'!$C$9:$C$11</c:f>
              <c:numCache/>
            </c:numRef>
          </c:val>
        </c:ser>
        <c:ser>
          <c:idx val="2"/>
          <c:order val="2"/>
          <c:tx>
            <c:strRef>
              <c:f>'Pivot Table 3'!$D$8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3'!$A$9:$A$11</c:f>
            </c:strRef>
          </c:cat>
          <c:val>
            <c:numRef>
              <c:f>'Pivot Table 3'!$D$9:$D$11</c:f>
              <c:numCache/>
            </c:numRef>
          </c:val>
        </c:ser>
        <c:ser>
          <c:idx val="3"/>
          <c:order val="3"/>
          <c:tx>
            <c:strRef>
              <c:f>'Pivot Table 3'!$E$8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3'!$A$9:$A$11</c:f>
            </c:strRef>
          </c:cat>
          <c:val>
            <c:numRef>
              <c:f>'Pivot Table 3'!$E$9:$E$11</c:f>
              <c:numCache/>
            </c:numRef>
          </c:val>
        </c:ser>
        <c:overlap val="100"/>
        <c:axId val="1314615840"/>
        <c:axId val="1218852757"/>
      </c:barChart>
      <c:catAx>
        <c:axId val="131461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ActivityLevel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852757"/>
      </c:catAx>
      <c:valAx>
        <c:axId val="1218852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615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</xdr:rowOff>
    </xdr:from>
    <xdr:ext cx="4133850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171450</xdr:rowOff>
    </xdr:from>
    <xdr:ext cx="4133850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428625</xdr:colOff>
      <xdr:row>4</xdr:row>
      <xdr:rowOff>19050</xdr:rowOff>
    </xdr:from>
    <xdr:ext cx="4133850" cy="2952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428625</xdr:colOff>
      <xdr:row>18</xdr:row>
      <xdr:rowOff>171450</xdr:rowOff>
    </xdr:from>
    <xdr:ext cx="4133850" cy="2847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6" sheet="Combined_User_Summary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vgSteps" numFmtId="0">
      <sharedItems containsSemiMixedTypes="0" containsString="0" containsNumber="1">
        <n v="11640.526315789473"/>
        <n v="4226.263157894737"/>
        <n v="9274.8"/>
        <n v="3640.5833333333335"/>
        <n v="2180.8333333333335"/>
        <n v="12174.916666666666"/>
        <n v="3392.75"/>
        <n v="3138.4166666666665"/>
        <n v="9800.066666666668"/>
        <n v="6636.583333333333"/>
        <n v="773.625"/>
        <n v="6127.5"/>
        <n v="8663.916666666666"/>
        <n v="5776.59375"/>
        <n v="1887.21875"/>
        <n v="7820.583333333333"/>
        <n v="0.0"/>
        <n v="4293.066666666667"/>
        <n v="5785.25"/>
        <n v="7943.4"/>
        <n v="8354.75"/>
        <n v="8608.181818181818"/>
        <n v="8248.6"/>
        <n v="1618.1"/>
        <n v="1336.888888888889"/>
        <n v="5559.0"/>
        <n v="12639.714285714286"/>
        <n v="12260.333333333334"/>
        <n v="6103.916666666667"/>
        <n v="14844.363636363636"/>
        <n v="2389.9166666666665"/>
        <n v="8135.25"/>
        <n v="3045.5"/>
        <n v="3094.9166666666665"/>
        <n v="17417.083333333332"/>
      </sharedItems>
    </cacheField>
    <cacheField name="AvgCalories" numFmtId="0">
      <sharedItems containsSemiMixedTypes="0" containsString="0" containsNumber="1">
        <n v="1796.2105263157894"/>
        <n v="1352.8947368421052"/>
        <n v="2916.4"/>
        <n v="1615.9166666666667"/>
        <n v="2254.0"/>
        <n v="2475.3333333333335"/>
        <n v="1355.5"/>
        <n v="1532.0833333333333"/>
        <n v="2021.3333333333333"/>
        <n v="1695.75"/>
        <n v="2273.375"/>
        <n v="1860.3"/>
        <n v="1398.0833333333333"/>
        <n v="3075.375"/>
        <n v="1903.53125"/>
        <n v="1994.25"/>
        <n v="1805.25"/>
        <n v="2107.8"/>
        <n v="1830.1666666666667"/>
        <n v="2821.4666666666667"/>
        <n v="1802.5"/>
        <n v="3300.2727272727275"/>
        <n v="2099.3"/>
        <n v="2165.6"/>
        <n v="1763.111111111111"/>
        <n v="2724.777777777778"/>
        <n v="2089.214285714286"/>
        <n v="2627.0833333333335"/>
        <n v="2177.0"/>
        <n v="2893.181818181818"/>
        <n v="1463.0"/>
        <n v="3356.1666666666665"/>
        <n v="2391.25"/>
        <n v="2073.6666666666665"/>
        <n v="3451.1666666666665"/>
      </sharedItems>
    </cacheField>
    <cacheField name="AvgDistance" numFmtId="0">
      <sharedItems containsSemiMixedTypes="0" containsString="0" containsNumber="1">
        <n v="7.607368451200035"/>
        <n v="2.7468420769038953"/>
        <n v="6.749000000953677"/>
        <n v="2.406666686137518"/>
        <n v="1.5108333394552267"/>
        <n v="8.774166762828834"/>
        <n v="2.103333314259847"/>
        <n v="2.122499972581863"/>
        <n v="6.51133337020874"/>
        <n v="4.469166725873946"/>
        <n v="0.6037500053644175"/>
        <n v="4.215999984741211"/>
        <n v="5.806666617592175"/>
        <n v="4.143749993585516"/>
        <n v="1.3890625018393625"/>
        <n v="5.255833347638449"/>
        <n v="0.0"/>
        <n v="2.906666680177053"/>
        <n v="3.8233333081007004"/>
        <n v="6.445999972025549"/>
        <n v="5.458333363135659"/>
        <n v="6.44818178090182"/>
        <n v="6.226999974250795"/>
        <n v="1.223000001907349"/>
        <n v="1.0744444661670265"/>
        <n v="3.9855555173837485"/>
        <n v="8.647857155118674"/>
        <n v="8.856666684150705"/>
        <n v="4.094166625601549"/>
        <n v="11.576363602822468"/>
        <n v="1.6791666348775225"/>
        <n v="6.451666633288071"/>
        <n v="2.3775000125169767"/>
        <n v="1.9808333412123227"/>
        <n v="14.090833206971476"/>
      </sharedItems>
    </cacheField>
    <cacheField name="DaysTracked" numFmtId="0">
      <sharedItems containsSemiMixedTypes="0" containsString="0" containsNumber="1" containsInteger="1">
        <n v="19.0"/>
        <n v="10.0"/>
        <n v="12.0"/>
        <n v="15.0"/>
        <n v="8.0"/>
        <n v="32.0"/>
        <n v="11.0"/>
        <n v="9.0"/>
        <n v="14.0"/>
      </sharedItems>
    </cacheField>
    <cacheField name="ActivityDataFlag" numFmtId="0">
      <sharedItems>
        <s v="OK"/>
        <s v="Missing Data"/>
      </sharedItems>
    </cacheField>
    <cacheField name="AvgHoursAsleep">
      <sharedItems containsMixedTypes="1" containsNumber="1">
        <n v="6.004666666666666"/>
        <s v="No sleep data"/>
        <n v="4.9"/>
        <n v="10.866666666666667"/>
        <n v="6.95"/>
        <n v="8.436309523809523"/>
        <n v="1.0166666666666666"/>
        <n v="7.446666666666667"/>
        <n v="4.89404761904762"/>
        <n v="5.822916666666667"/>
        <n v="7.944230769230769"/>
        <n v="6.71875"/>
        <n v="6.419642857142858"/>
        <n v="2.1266666666666665"/>
        <n v="7.01904761904762"/>
        <n v="7.724731182795699"/>
        <n v="7.2"/>
        <n v="7.979629629629629"/>
        <n v="5.827777777777778"/>
        <n v="7.466666666666667"/>
        <n v="1.1416666666666666"/>
        <n v="7.552083333333333"/>
        <n v="4.95"/>
        <n v="7.3890625"/>
        <n v="7.261111111111111"/>
      </sharedItems>
    </cacheField>
    <cacheField name="AvgMinutesAwakeInBed">
      <sharedItems containsMixedTypes="1" containsNumber="1">
        <n v="22.92"/>
        <s v="No sleep data"/>
        <n v="52.0"/>
        <n v="309.0"/>
        <n v="20.8"/>
        <n v="31.464285714285715"/>
        <n v="8.0"/>
        <n v="44.53333333333333"/>
        <n v="167.5"/>
        <n v="30.375"/>
        <n v="25.307692307692307"/>
        <n v="23.083333333333332"/>
        <n v="31.642857142857142"/>
        <n v="12.4"/>
        <n v="20.821428571428573"/>
        <n v="42.38709677419355"/>
        <n v="28.615384615384617"/>
        <n v="31.38888888888889"/>
        <n v="19.333333333333332"/>
        <n v="18.129032258064516"/>
        <n v="3.0"/>
        <n v="13.291666666666666"/>
        <n v="4.666666666666667"/>
        <n v="39.96875"/>
        <n v="18.133333333333333"/>
      </sharedItems>
    </cacheField>
    <cacheField name="SleepDaysTracked" numFmtId="0">
      <sharedItems containsSemiMixedTypes="0" containsString="0" containsNumber="1" containsInteger="1">
        <n v="25.0"/>
        <n v="0.0"/>
        <n v="4.0"/>
        <n v="3.0"/>
        <n v="5.0"/>
        <n v="28.0"/>
        <n v="1.0"/>
        <n v="15.0"/>
        <n v="8.0"/>
        <n v="26.0"/>
        <n v="24.0"/>
        <n v="31.0"/>
        <n v="18.0"/>
        <n v="2.0"/>
        <n v="32.0"/>
      </sharedItems>
    </cacheField>
    <cacheField name="SleepDataFlag" numFmtId="0">
      <sharedItems>
        <s v="OK"/>
        <s v="No sleep data"/>
        <s v="Low sleep records"/>
        <s v="Possible outlier"/>
      </sharedItems>
    </cacheField>
    <cacheField name="ActivityLevel" numFmtId="0">
      <sharedItems>
        <s v="High"/>
        <s v="Low"/>
        <s v="Modera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5" firstHeaderRow="0" firstDataRow="2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aysTrac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ctivityDataFlag" compact="0" outline="0" multipleItemSelectionAllowed="1" showAll="0">
      <items>
        <item x="0"/>
        <item x="1"/>
        <item t="default"/>
      </items>
    </pivotField>
    <pivotField name="AvgHoursAsle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vgMinutesAwakeInB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leepDaysTrac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leepDataFlag" compact="0" outline="0" multipleItemSelectionAllowed="1" showAll="0">
      <items>
        <item x="0"/>
        <item x="1"/>
        <item x="2"/>
        <item x="3"/>
        <item t="default"/>
      </items>
    </pivotField>
    <pivotField name="ActivityLevel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10"/>
  </rowFields>
  <colFields>
    <field x="-2"/>
  </colFields>
  <dataFields>
    <dataField name="COUNTA of Id" fld="0" subtotal="count" baseField="0"/>
    <dataField name="AVERAGE of AvgSteps" fld="1" subtotal="average" baseField="0"/>
    <dataField name="AVERAGE of AvgCalories" fld="2" subtotal="average" baseField="0"/>
    <dataField name="AVERAGE of AvgDistance" fld="3" subtotal="average" baseField="0"/>
    <dataField name="AVERAGE of AvgHoursAsleep" fld="6" subtotal="average" baseField="0"/>
    <dataField name="AVERAGE of AvgMinutesAwakeInBed" fld="7" subtotal="average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F6" firstHeaderRow="0" firstDataRow="1" firstDataCol="1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aysTrac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ctivityDataFlag" compact="0" outline="0" multipleItemSelectionAllowed="1" showAll="0">
      <items>
        <item x="0"/>
        <item x="1"/>
        <item t="default"/>
      </items>
    </pivotField>
    <pivotField name="AvgHoursAsle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vgMinutesAwakeInB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leepDaysTrac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leepDataFlag" axis="axisCol" compact="0" outline="0" multipleItemSelectionAllowed="1" showAll="0" sortType="ascending">
      <items>
        <item x="2"/>
        <item x="1"/>
        <item x="0"/>
        <item x="3"/>
        <item t="default"/>
      </items>
    </pivotField>
    <pivotField name="ActivityLevel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10"/>
  </rowFields>
  <colFields>
    <field x="9"/>
  </colFields>
  <dataFields>
    <dataField name="COUNTA of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25"/>
    <col customWidth="1" min="6" max="6" width="16.38"/>
    <col customWidth="1" min="7" max="7" width="23.88"/>
    <col customWidth="1" min="8" max="8" width="19.0"/>
    <col customWidth="1" min="9" max="9" width="24.25"/>
    <col customWidth="1" min="10" max="10" width="19.5"/>
    <col customWidth="1" min="11" max="11" width="23.5"/>
    <col customWidth="1" min="12" max="12" width="18.38"/>
    <col customWidth="1" min="13" max="13" width="19.25"/>
    <col customWidth="1" min="14" max="14" width="20.25"/>
    <col customWidth="1" min="15" max="15" width="17.88"/>
    <col customWidth="1" min="16" max="16" width="1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>
        <v>1.503960366E9</v>
      </c>
      <c r="B2" s="4">
        <v>42454.0</v>
      </c>
      <c r="C2" s="5">
        <f t="shared" ref="C2:C458" si="1">DATEVALUE(B2)</f>
        <v>42454</v>
      </c>
      <c r="D2" s="3">
        <v>11004.0</v>
      </c>
      <c r="E2" s="3">
        <v>7.1100001335144</v>
      </c>
      <c r="F2" s="3">
        <v>7.1100001335144</v>
      </c>
      <c r="G2" s="3">
        <v>0.0</v>
      </c>
      <c r="H2" s="3">
        <v>2.5699999332428</v>
      </c>
      <c r="I2" s="3">
        <v>0.46000000834465</v>
      </c>
      <c r="J2" s="3">
        <v>4.07000017166138</v>
      </c>
      <c r="K2" s="3">
        <v>0.0</v>
      </c>
      <c r="L2" s="3">
        <v>33.0</v>
      </c>
      <c r="M2" s="3">
        <v>12.0</v>
      </c>
      <c r="N2" s="3">
        <v>205.0</v>
      </c>
      <c r="O2" s="3">
        <v>804.0</v>
      </c>
      <c r="P2" s="3">
        <v>1819.0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>
        <v>1.503960366E9</v>
      </c>
      <c r="B3" s="4">
        <v>42455.0</v>
      </c>
      <c r="C3" s="5">
        <f t="shared" si="1"/>
        <v>42455</v>
      </c>
      <c r="D3" s="3">
        <v>17609.0</v>
      </c>
      <c r="E3" s="3">
        <v>11.5500001907349</v>
      </c>
      <c r="F3" s="3">
        <v>11.5500001907349</v>
      </c>
      <c r="G3" s="3">
        <v>0.0</v>
      </c>
      <c r="H3" s="3">
        <v>6.92000007629395</v>
      </c>
      <c r="I3" s="3">
        <v>0.730000019073486</v>
      </c>
      <c r="J3" s="3">
        <v>3.91000008583069</v>
      </c>
      <c r="K3" s="3">
        <v>0.0</v>
      </c>
      <c r="L3" s="3">
        <v>89.0</v>
      </c>
      <c r="M3" s="3">
        <v>17.0</v>
      </c>
      <c r="N3" s="3">
        <v>274.0</v>
      </c>
      <c r="O3" s="3">
        <v>588.0</v>
      </c>
      <c r="P3" s="3">
        <v>2154.0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>
        <v>1.503960366E9</v>
      </c>
      <c r="B4" s="4">
        <v>42456.0</v>
      </c>
      <c r="C4" s="5">
        <f t="shared" si="1"/>
        <v>42456</v>
      </c>
      <c r="D4" s="3">
        <v>12736.0</v>
      </c>
      <c r="E4" s="3">
        <v>8.52999973297119</v>
      </c>
      <c r="F4" s="3">
        <v>8.52999973297119</v>
      </c>
      <c r="G4" s="3">
        <v>0.0</v>
      </c>
      <c r="H4" s="3">
        <v>4.65999984741211</v>
      </c>
      <c r="I4" s="3">
        <v>0.159999996423721</v>
      </c>
      <c r="J4" s="3">
        <v>3.71000003814697</v>
      </c>
      <c r="K4" s="3">
        <v>0.0</v>
      </c>
      <c r="L4" s="3">
        <v>56.0</v>
      </c>
      <c r="M4" s="3">
        <v>5.0</v>
      </c>
      <c r="N4" s="3">
        <v>268.0</v>
      </c>
      <c r="O4" s="3">
        <v>605.0</v>
      </c>
      <c r="P4" s="3">
        <v>1944.0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>
        <v>1.503960366E9</v>
      </c>
      <c r="B5" s="4">
        <v>42457.0</v>
      </c>
      <c r="C5" s="5">
        <f t="shared" si="1"/>
        <v>42457</v>
      </c>
      <c r="D5" s="3">
        <v>13231.0</v>
      </c>
      <c r="E5" s="3">
        <v>8.93000030517578</v>
      </c>
      <c r="F5" s="3">
        <v>8.93000030517578</v>
      </c>
      <c r="G5" s="3">
        <v>0.0</v>
      </c>
      <c r="H5" s="3">
        <v>3.19000005722046</v>
      </c>
      <c r="I5" s="3">
        <v>0.790000021457672</v>
      </c>
      <c r="J5" s="3">
        <v>4.94999980926514</v>
      </c>
      <c r="K5" s="3">
        <v>0.0</v>
      </c>
      <c r="L5" s="3">
        <v>39.0</v>
      </c>
      <c r="M5" s="3">
        <v>20.0</v>
      </c>
      <c r="N5" s="3">
        <v>224.0</v>
      </c>
      <c r="O5" s="3">
        <v>1080.0</v>
      </c>
      <c r="P5" s="3">
        <v>1932.0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>
        <v>1.503960366E9</v>
      </c>
      <c r="B6" s="4">
        <v>42458.0</v>
      </c>
      <c r="C6" s="5">
        <f t="shared" si="1"/>
        <v>42458</v>
      </c>
      <c r="D6" s="3">
        <v>12041.0</v>
      </c>
      <c r="E6" s="3">
        <v>7.84999990463257</v>
      </c>
      <c r="F6" s="3">
        <v>7.84999990463257</v>
      </c>
      <c r="G6" s="3">
        <v>0.0</v>
      </c>
      <c r="H6" s="3">
        <v>2.16000008583069</v>
      </c>
      <c r="I6" s="3">
        <v>1.0900000333786</v>
      </c>
      <c r="J6" s="3">
        <v>4.6100001335144</v>
      </c>
      <c r="K6" s="3">
        <v>0.0</v>
      </c>
      <c r="L6" s="3">
        <v>28.0</v>
      </c>
      <c r="M6" s="3">
        <v>28.0</v>
      </c>
      <c r="N6" s="3">
        <v>243.0</v>
      </c>
      <c r="O6" s="3">
        <v>763.0</v>
      </c>
      <c r="P6" s="3">
        <v>1886.0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>
        <v>1.503960366E9</v>
      </c>
      <c r="B7" s="4">
        <v>42459.0</v>
      </c>
      <c r="C7" s="5">
        <f t="shared" si="1"/>
        <v>42459</v>
      </c>
      <c r="D7" s="3">
        <v>10970.0</v>
      </c>
      <c r="E7" s="3">
        <v>7.15999984741211</v>
      </c>
      <c r="F7" s="3">
        <v>7.15999984741211</v>
      </c>
      <c r="G7" s="3">
        <v>0.0</v>
      </c>
      <c r="H7" s="3">
        <v>2.35999989509583</v>
      </c>
      <c r="I7" s="3">
        <v>0.509999990463257</v>
      </c>
      <c r="J7" s="3">
        <v>4.28999996185303</v>
      </c>
      <c r="K7" s="3">
        <v>0.0</v>
      </c>
      <c r="L7" s="3">
        <v>30.0</v>
      </c>
      <c r="M7" s="3">
        <v>13.0</v>
      </c>
      <c r="N7" s="3">
        <v>223.0</v>
      </c>
      <c r="O7" s="3">
        <v>1174.0</v>
      </c>
      <c r="P7" s="3">
        <v>1820.0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>
        <v>1.503960366E9</v>
      </c>
      <c r="B8" s="4">
        <v>42460.0</v>
      </c>
      <c r="C8" s="5">
        <f t="shared" si="1"/>
        <v>42460</v>
      </c>
      <c r="D8" s="3">
        <v>12256.0</v>
      </c>
      <c r="E8" s="3">
        <v>7.8600001335144</v>
      </c>
      <c r="F8" s="3">
        <v>7.8600001335144</v>
      </c>
      <c r="G8" s="3">
        <v>0.0</v>
      </c>
      <c r="H8" s="3">
        <v>2.28999996185303</v>
      </c>
      <c r="I8" s="3">
        <v>0.490000009536743</v>
      </c>
      <c r="J8" s="3">
        <v>5.03999996185303</v>
      </c>
      <c r="K8" s="3">
        <v>0.0</v>
      </c>
      <c r="L8" s="3">
        <v>33.0</v>
      </c>
      <c r="M8" s="3">
        <v>12.0</v>
      </c>
      <c r="N8" s="3">
        <v>239.0</v>
      </c>
      <c r="O8" s="3">
        <v>820.0</v>
      </c>
      <c r="P8" s="3">
        <v>1889.0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>
        <v>1.503960366E9</v>
      </c>
      <c r="B9" s="4">
        <v>42461.0</v>
      </c>
      <c r="C9" s="5">
        <f t="shared" si="1"/>
        <v>42461</v>
      </c>
      <c r="D9" s="3">
        <v>12262.0</v>
      </c>
      <c r="E9" s="3">
        <v>7.86999988555908</v>
      </c>
      <c r="F9" s="3">
        <v>7.86999988555908</v>
      </c>
      <c r="G9" s="3">
        <v>0.0</v>
      </c>
      <c r="H9" s="3">
        <v>3.3199999332428</v>
      </c>
      <c r="I9" s="3">
        <v>0.829999983310699</v>
      </c>
      <c r="J9" s="3">
        <v>3.64000010490417</v>
      </c>
      <c r="K9" s="3">
        <v>0.0</v>
      </c>
      <c r="L9" s="3">
        <v>47.0</v>
      </c>
      <c r="M9" s="3">
        <v>21.0</v>
      </c>
      <c r="N9" s="3">
        <v>200.0</v>
      </c>
      <c r="O9" s="3">
        <v>866.0</v>
      </c>
      <c r="P9" s="3">
        <v>1868.0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>
        <v>1.503960366E9</v>
      </c>
      <c r="B10" s="4">
        <v>42462.0</v>
      </c>
      <c r="C10" s="5">
        <f t="shared" si="1"/>
        <v>42462</v>
      </c>
      <c r="D10" s="3">
        <v>11248.0</v>
      </c>
      <c r="E10" s="3">
        <v>7.25</v>
      </c>
      <c r="F10" s="3">
        <v>7.25</v>
      </c>
      <c r="G10" s="3">
        <v>0.0</v>
      </c>
      <c r="H10" s="3">
        <v>3.0</v>
      </c>
      <c r="I10" s="3">
        <v>0.449999988079071</v>
      </c>
      <c r="J10" s="3">
        <v>3.74000000953674</v>
      </c>
      <c r="K10" s="3">
        <v>0.0</v>
      </c>
      <c r="L10" s="3">
        <v>40.0</v>
      </c>
      <c r="M10" s="3">
        <v>11.0</v>
      </c>
      <c r="N10" s="3">
        <v>244.0</v>
      </c>
      <c r="O10" s="3">
        <v>636.0</v>
      </c>
      <c r="P10" s="3">
        <v>1843.0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>
        <v>1.503960366E9</v>
      </c>
      <c r="B11" s="4">
        <v>42463.0</v>
      </c>
      <c r="C11" s="5">
        <f t="shared" si="1"/>
        <v>42463</v>
      </c>
      <c r="D11" s="3">
        <v>10016.0</v>
      </c>
      <c r="E11" s="3">
        <v>6.36999988555908</v>
      </c>
      <c r="F11" s="3">
        <v>6.36999988555908</v>
      </c>
      <c r="G11" s="3">
        <v>0.0</v>
      </c>
      <c r="H11" s="3">
        <v>0.910000026226044</v>
      </c>
      <c r="I11" s="3">
        <v>1.27999997138977</v>
      </c>
      <c r="J11" s="3">
        <v>4.17999982833862</v>
      </c>
      <c r="K11" s="3">
        <v>0.0</v>
      </c>
      <c r="L11" s="3">
        <v>15.0</v>
      </c>
      <c r="M11" s="3">
        <v>30.0</v>
      </c>
      <c r="N11" s="3">
        <v>314.0</v>
      </c>
      <c r="O11" s="3">
        <v>655.0</v>
      </c>
      <c r="P11" s="3">
        <v>1850.0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>
        <v>1.503960366E9</v>
      </c>
      <c r="B12" s="4">
        <v>42464.0</v>
      </c>
      <c r="C12" s="5">
        <f t="shared" si="1"/>
        <v>42464</v>
      </c>
      <c r="D12" s="3">
        <v>14557.0</v>
      </c>
      <c r="E12" s="3">
        <v>9.80000019073486</v>
      </c>
      <c r="F12" s="3">
        <v>9.80000019073486</v>
      </c>
      <c r="G12" s="3">
        <v>0.0</v>
      </c>
      <c r="H12" s="3">
        <v>3.39000010490417</v>
      </c>
      <c r="I12" s="3">
        <v>0.699999988079071</v>
      </c>
      <c r="J12" s="3">
        <v>5.69000005722046</v>
      </c>
      <c r="K12" s="3">
        <v>0.0</v>
      </c>
      <c r="L12" s="3">
        <v>43.0</v>
      </c>
      <c r="M12" s="3">
        <v>18.0</v>
      </c>
      <c r="N12" s="3">
        <v>285.0</v>
      </c>
      <c r="O12" s="3">
        <v>757.0</v>
      </c>
      <c r="P12" s="3">
        <v>2030.0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>
        <v>1.503960366E9</v>
      </c>
      <c r="B13" s="4">
        <v>42465.0</v>
      </c>
      <c r="C13" s="5">
        <f t="shared" si="1"/>
        <v>42465</v>
      </c>
      <c r="D13" s="3">
        <v>14844.0</v>
      </c>
      <c r="E13" s="3">
        <v>9.72999954223633</v>
      </c>
      <c r="F13" s="3">
        <v>9.72999954223633</v>
      </c>
      <c r="G13" s="3">
        <v>0.0</v>
      </c>
      <c r="H13" s="3">
        <v>2.94000005722046</v>
      </c>
      <c r="I13" s="3">
        <v>0.759999990463257</v>
      </c>
      <c r="J13" s="3">
        <v>6.03999996185303</v>
      </c>
      <c r="K13" s="3">
        <v>0.0</v>
      </c>
      <c r="L13" s="3">
        <v>36.0</v>
      </c>
      <c r="M13" s="3">
        <v>18.0</v>
      </c>
      <c r="N13" s="3">
        <v>341.0</v>
      </c>
      <c r="O13" s="3">
        <v>736.0</v>
      </c>
      <c r="P13" s="3">
        <v>2083.0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>
        <v>1.503960366E9</v>
      </c>
      <c r="B14" s="4">
        <v>42466.0</v>
      </c>
      <c r="C14" s="5">
        <f t="shared" si="1"/>
        <v>42466</v>
      </c>
      <c r="D14" s="3">
        <v>11974.0</v>
      </c>
      <c r="E14" s="3">
        <v>7.67000007629395</v>
      </c>
      <c r="F14" s="3">
        <v>7.67000007629395</v>
      </c>
      <c r="G14" s="3">
        <v>0.0</v>
      </c>
      <c r="H14" s="3">
        <v>2.03999996185303</v>
      </c>
      <c r="I14" s="3">
        <v>0.479999989271164</v>
      </c>
      <c r="J14" s="3">
        <v>5.15000009536743</v>
      </c>
      <c r="K14" s="3">
        <v>0.0</v>
      </c>
      <c r="L14" s="3">
        <v>27.0</v>
      </c>
      <c r="M14" s="3">
        <v>12.0</v>
      </c>
      <c r="N14" s="3">
        <v>228.0</v>
      </c>
      <c r="O14" s="3">
        <v>1173.0</v>
      </c>
      <c r="P14" s="3">
        <v>1861.0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>
        <v>1.503960366E9</v>
      </c>
      <c r="B15" s="4">
        <v>42467.0</v>
      </c>
      <c r="C15" s="5">
        <f t="shared" si="1"/>
        <v>42467</v>
      </c>
      <c r="D15" s="3">
        <v>10198.0</v>
      </c>
      <c r="E15" s="3">
        <v>6.44000005722046</v>
      </c>
      <c r="F15" s="3">
        <v>6.44000005722046</v>
      </c>
      <c r="G15" s="3">
        <v>0.0</v>
      </c>
      <c r="H15" s="3">
        <v>1.20000004768372</v>
      </c>
      <c r="I15" s="3">
        <v>0.790000021457672</v>
      </c>
      <c r="J15" s="3">
        <v>4.44999980926514</v>
      </c>
      <c r="K15" s="3">
        <v>0.0</v>
      </c>
      <c r="L15" s="3">
        <v>17.0</v>
      </c>
      <c r="M15" s="3">
        <v>20.0</v>
      </c>
      <c r="N15" s="3">
        <v>195.0</v>
      </c>
      <c r="O15" s="3">
        <v>1208.0</v>
      </c>
      <c r="P15" s="3">
        <v>1755.0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>
        <v>1.503960366E9</v>
      </c>
      <c r="B16" s="4">
        <v>42468.0</v>
      </c>
      <c r="C16" s="5">
        <f t="shared" si="1"/>
        <v>42468</v>
      </c>
      <c r="D16" s="3">
        <v>12521.0</v>
      </c>
      <c r="E16" s="3">
        <v>7.94000005722046</v>
      </c>
      <c r="F16" s="3">
        <v>7.94000005722046</v>
      </c>
      <c r="G16" s="3">
        <v>0.0</v>
      </c>
      <c r="H16" s="3">
        <v>3.30999994277954</v>
      </c>
      <c r="I16" s="3">
        <v>0.899999976158142</v>
      </c>
      <c r="J16" s="3">
        <v>3.74000000953674</v>
      </c>
      <c r="K16" s="3">
        <v>0.0</v>
      </c>
      <c r="L16" s="3">
        <v>46.0</v>
      </c>
      <c r="M16" s="3">
        <v>22.0</v>
      </c>
      <c r="N16" s="3">
        <v>212.0</v>
      </c>
      <c r="O16" s="3">
        <v>1160.0</v>
      </c>
      <c r="P16" s="3">
        <v>1895.0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>
        <v>1.503960366E9</v>
      </c>
      <c r="B17" s="4">
        <v>42469.0</v>
      </c>
      <c r="C17" s="5">
        <f t="shared" si="1"/>
        <v>42469</v>
      </c>
      <c r="D17" s="3">
        <v>12432.0</v>
      </c>
      <c r="E17" s="3">
        <v>8.10000038146973</v>
      </c>
      <c r="F17" s="3">
        <v>8.10000038146973</v>
      </c>
      <c r="G17" s="3">
        <v>0.0</v>
      </c>
      <c r="H17" s="3">
        <v>2.58999991416931</v>
      </c>
      <c r="I17" s="3">
        <v>0.589999973773956</v>
      </c>
      <c r="J17" s="3">
        <v>4.92000007629395</v>
      </c>
      <c r="K17" s="3">
        <v>0.0</v>
      </c>
      <c r="L17" s="3">
        <v>32.0</v>
      </c>
      <c r="M17" s="3">
        <v>15.0</v>
      </c>
      <c r="N17" s="3">
        <v>248.0</v>
      </c>
      <c r="O17" s="3">
        <v>738.0</v>
      </c>
      <c r="P17" s="3">
        <v>1883.0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>
        <v>1.503960366E9</v>
      </c>
      <c r="B18" s="4">
        <v>42470.0</v>
      </c>
      <c r="C18" s="5">
        <f t="shared" si="1"/>
        <v>42470</v>
      </c>
      <c r="D18" s="3">
        <v>10057.0</v>
      </c>
      <c r="E18" s="3">
        <v>6.98000001907349</v>
      </c>
      <c r="F18" s="3">
        <v>6.98000001907349</v>
      </c>
      <c r="G18" s="3">
        <v>0.0</v>
      </c>
      <c r="H18" s="3">
        <v>4.0</v>
      </c>
      <c r="I18" s="3">
        <v>0.490000009536743</v>
      </c>
      <c r="J18" s="3">
        <v>2.48000001907349</v>
      </c>
      <c r="K18" s="3">
        <v>0.0</v>
      </c>
      <c r="L18" s="3">
        <v>44.0</v>
      </c>
      <c r="M18" s="3">
        <v>13.0</v>
      </c>
      <c r="N18" s="3">
        <v>168.0</v>
      </c>
      <c r="O18" s="3">
        <v>737.0</v>
      </c>
      <c r="P18" s="3">
        <v>1755.0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>
        <v>1.503960366E9</v>
      </c>
      <c r="B19" s="4">
        <v>42471.0</v>
      </c>
      <c r="C19" s="5">
        <f t="shared" si="1"/>
        <v>42471</v>
      </c>
      <c r="D19" s="3">
        <v>10990.0</v>
      </c>
      <c r="E19" s="3">
        <v>7.26000022888184</v>
      </c>
      <c r="F19" s="3">
        <v>7.26000022888184</v>
      </c>
      <c r="G19" s="3">
        <v>0.0</v>
      </c>
      <c r="H19" s="3">
        <v>2.03999996185303</v>
      </c>
      <c r="I19" s="3">
        <v>0.569999992847443</v>
      </c>
      <c r="J19" s="3">
        <v>4.65000009536743</v>
      </c>
      <c r="K19" s="3">
        <v>0.0</v>
      </c>
      <c r="L19" s="3">
        <v>26.0</v>
      </c>
      <c r="M19" s="3">
        <v>14.0</v>
      </c>
      <c r="N19" s="3">
        <v>216.0</v>
      </c>
      <c r="O19" s="3">
        <v>855.0</v>
      </c>
      <c r="P19" s="3">
        <v>1811.0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>
        <v>1.503960366E9</v>
      </c>
      <c r="B20" s="4">
        <v>42472.0</v>
      </c>
      <c r="C20" s="5">
        <f t="shared" si="1"/>
        <v>42472</v>
      </c>
      <c r="D20" s="3">
        <v>224.0</v>
      </c>
      <c r="E20" s="3">
        <v>0.140000000596046</v>
      </c>
      <c r="F20" s="3">
        <v>0.140000000596046</v>
      </c>
      <c r="G20" s="3">
        <v>0.0</v>
      </c>
      <c r="H20" s="3">
        <v>0.0</v>
      </c>
      <c r="I20" s="3">
        <v>0.0</v>
      </c>
      <c r="J20" s="3">
        <v>0.129999995231628</v>
      </c>
      <c r="K20" s="3">
        <v>0.0</v>
      </c>
      <c r="L20" s="3">
        <v>0.0</v>
      </c>
      <c r="M20" s="3">
        <v>0.0</v>
      </c>
      <c r="N20" s="3">
        <v>9.0</v>
      </c>
      <c r="O20" s="3">
        <v>32.0</v>
      </c>
      <c r="P20" s="3">
        <v>50.0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>
        <v>1.624580081E9</v>
      </c>
      <c r="B21" s="4">
        <v>42454.0</v>
      </c>
      <c r="C21" s="5">
        <f t="shared" si="1"/>
        <v>42454</v>
      </c>
      <c r="D21" s="3">
        <v>1810.0</v>
      </c>
      <c r="E21" s="3">
        <v>1.17999994754791</v>
      </c>
      <c r="F21" s="3">
        <v>1.17999994754791</v>
      </c>
      <c r="G21" s="3">
        <v>0.0</v>
      </c>
      <c r="H21" s="3">
        <v>0.0</v>
      </c>
      <c r="I21" s="3">
        <v>0.0</v>
      </c>
      <c r="J21" s="3">
        <v>1.12999999523163</v>
      </c>
      <c r="K21" s="3">
        <v>0.00999999977648258</v>
      </c>
      <c r="L21" s="3">
        <v>0.0</v>
      </c>
      <c r="M21" s="3">
        <v>0.0</v>
      </c>
      <c r="N21" s="3">
        <v>121.0</v>
      </c>
      <c r="O21" s="3">
        <v>1319.0</v>
      </c>
      <c r="P21" s="3">
        <v>1373.0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>
        <v>1.624580081E9</v>
      </c>
      <c r="B22" s="4">
        <v>42455.0</v>
      </c>
      <c r="C22" s="5">
        <f t="shared" si="1"/>
        <v>42455</v>
      </c>
      <c r="D22" s="3">
        <v>815.0</v>
      </c>
      <c r="E22" s="3">
        <v>0.529999971389771</v>
      </c>
      <c r="F22" s="3">
        <v>0.529999971389771</v>
      </c>
      <c r="G22" s="3">
        <v>0.0</v>
      </c>
      <c r="H22" s="3">
        <v>0.0</v>
      </c>
      <c r="I22" s="3">
        <v>0.0</v>
      </c>
      <c r="J22" s="3">
        <v>0.529999971389771</v>
      </c>
      <c r="K22" s="3">
        <v>0.0</v>
      </c>
      <c r="L22" s="3">
        <v>0.0</v>
      </c>
      <c r="M22" s="3">
        <v>0.0</v>
      </c>
      <c r="N22" s="3">
        <v>47.0</v>
      </c>
      <c r="O22" s="3">
        <v>1393.0</v>
      </c>
      <c r="P22" s="3">
        <v>1264.0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>
        <v>1.624580081E9</v>
      </c>
      <c r="B23" s="4">
        <v>42456.0</v>
      </c>
      <c r="C23" s="5">
        <f t="shared" si="1"/>
        <v>42456</v>
      </c>
      <c r="D23" s="3">
        <v>1985.0</v>
      </c>
      <c r="E23" s="3">
        <v>1.28999996185303</v>
      </c>
      <c r="F23" s="3">
        <v>1.28999996185303</v>
      </c>
      <c r="G23" s="3">
        <v>0.0</v>
      </c>
      <c r="H23" s="3">
        <v>0.0</v>
      </c>
      <c r="I23" s="3">
        <v>0.0</v>
      </c>
      <c r="J23" s="3">
        <v>1.27999997138977</v>
      </c>
      <c r="K23" s="3">
        <v>0.00999999977648258</v>
      </c>
      <c r="L23" s="3">
        <v>0.0</v>
      </c>
      <c r="M23" s="3">
        <v>0.0</v>
      </c>
      <c r="N23" s="3">
        <v>112.0</v>
      </c>
      <c r="O23" s="3">
        <v>1328.0</v>
      </c>
      <c r="P23" s="3">
        <v>1350.0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>
        <v>1.624580081E9</v>
      </c>
      <c r="B24" s="4">
        <v>42457.0</v>
      </c>
      <c r="C24" s="5">
        <f t="shared" si="1"/>
        <v>42457</v>
      </c>
      <c r="D24" s="3">
        <v>1905.0</v>
      </c>
      <c r="E24" s="3">
        <v>1.24000000953674</v>
      </c>
      <c r="F24" s="3">
        <v>1.24000000953674</v>
      </c>
      <c r="G24" s="3">
        <v>0.0</v>
      </c>
      <c r="H24" s="3">
        <v>0.0</v>
      </c>
      <c r="I24" s="3">
        <v>0.0</v>
      </c>
      <c r="J24" s="3">
        <v>1.24000000953674</v>
      </c>
      <c r="K24" s="3">
        <v>0.0</v>
      </c>
      <c r="L24" s="3">
        <v>0.0</v>
      </c>
      <c r="M24" s="3">
        <v>0.0</v>
      </c>
      <c r="N24" s="3">
        <v>95.0</v>
      </c>
      <c r="O24" s="3">
        <v>1345.0</v>
      </c>
      <c r="P24" s="3">
        <v>1342.0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>
        <v>1.624580081E9</v>
      </c>
      <c r="B25" s="4">
        <v>42458.0</v>
      </c>
      <c r="C25" s="5">
        <f t="shared" si="1"/>
        <v>42458</v>
      </c>
      <c r="D25" s="3">
        <v>1552.0</v>
      </c>
      <c r="E25" s="3">
        <v>1.00999999046326</v>
      </c>
      <c r="F25" s="3">
        <v>1.00999999046326</v>
      </c>
      <c r="G25" s="3">
        <v>0.0</v>
      </c>
      <c r="H25" s="3">
        <v>0.0</v>
      </c>
      <c r="I25" s="3">
        <v>0.0</v>
      </c>
      <c r="J25" s="3">
        <v>1.0</v>
      </c>
      <c r="K25" s="3">
        <v>0.0</v>
      </c>
      <c r="L25" s="3">
        <v>0.0</v>
      </c>
      <c r="M25" s="3">
        <v>0.0</v>
      </c>
      <c r="N25" s="3">
        <v>66.0</v>
      </c>
      <c r="O25" s="3">
        <v>1374.0</v>
      </c>
      <c r="P25" s="3">
        <v>1300.0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>
        <v>1.624580081E9</v>
      </c>
      <c r="B26" s="4">
        <v>42459.0</v>
      </c>
      <c r="C26" s="5">
        <f t="shared" si="1"/>
        <v>42459</v>
      </c>
      <c r="D26" s="3">
        <v>1675.0</v>
      </c>
      <c r="E26" s="3">
        <v>1.0900000333786</v>
      </c>
      <c r="F26" s="3">
        <v>1.0900000333786</v>
      </c>
      <c r="G26" s="3">
        <v>0.0</v>
      </c>
      <c r="H26" s="3">
        <v>0.0</v>
      </c>
      <c r="I26" s="3">
        <v>0.0</v>
      </c>
      <c r="J26" s="3">
        <v>1.0900000333786</v>
      </c>
      <c r="K26" s="3">
        <v>0.0</v>
      </c>
      <c r="L26" s="3">
        <v>0.0</v>
      </c>
      <c r="M26" s="3">
        <v>0.0</v>
      </c>
      <c r="N26" s="3">
        <v>84.0</v>
      </c>
      <c r="O26" s="3">
        <v>1356.0</v>
      </c>
      <c r="P26" s="3">
        <v>1313.0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>
        <v>1.624580081E9</v>
      </c>
      <c r="B27" s="4">
        <v>42460.0</v>
      </c>
      <c r="C27" s="5">
        <f t="shared" si="1"/>
        <v>42460</v>
      </c>
      <c r="D27" s="3">
        <v>4506.0</v>
      </c>
      <c r="E27" s="3">
        <v>2.9300000667572</v>
      </c>
      <c r="F27" s="3">
        <v>2.9300000667572</v>
      </c>
      <c r="G27" s="3">
        <v>0.0</v>
      </c>
      <c r="H27" s="3">
        <v>0.509999990463257</v>
      </c>
      <c r="I27" s="3">
        <v>0.270000010728836</v>
      </c>
      <c r="J27" s="3">
        <v>2.15000009536743</v>
      </c>
      <c r="K27" s="3">
        <v>0.00999999977648258</v>
      </c>
      <c r="L27" s="3">
        <v>7.0</v>
      </c>
      <c r="M27" s="3">
        <v>4.0</v>
      </c>
      <c r="N27" s="3">
        <v>144.0</v>
      </c>
      <c r="O27" s="3">
        <v>1285.0</v>
      </c>
      <c r="P27" s="3">
        <v>1498.0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>
        <v>1.624580081E9</v>
      </c>
      <c r="B28" s="4">
        <v>42461.0</v>
      </c>
      <c r="C28" s="5">
        <f t="shared" si="1"/>
        <v>42461</v>
      </c>
      <c r="D28" s="3">
        <v>9218.0</v>
      </c>
      <c r="E28" s="3">
        <v>5.98999977111816</v>
      </c>
      <c r="F28" s="3">
        <v>5.98999977111816</v>
      </c>
      <c r="G28" s="3">
        <v>0.0</v>
      </c>
      <c r="H28" s="3">
        <v>0.0</v>
      </c>
      <c r="I28" s="3">
        <v>0.0</v>
      </c>
      <c r="J28" s="3">
        <v>5.96999979019165</v>
      </c>
      <c r="K28" s="3">
        <v>0.00999999977648258</v>
      </c>
      <c r="L28" s="3">
        <v>0.0</v>
      </c>
      <c r="M28" s="3">
        <v>0.0</v>
      </c>
      <c r="N28" s="3">
        <v>221.0</v>
      </c>
      <c r="O28" s="3">
        <v>1219.0</v>
      </c>
      <c r="P28" s="3">
        <v>1541.0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>
        <v>1.624580081E9</v>
      </c>
      <c r="B29" s="4">
        <v>42462.0</v>
      </c>
      <c r="C29" s="5">
        <f t="shared" si="1"/>
        <v>42462</v>
      </c>
      <c r="D29" s="3">
        <v>1556.0</v>
      </c>
      <c r="E29" s="3">
        <v>1.00999999046326</v>
      </c>
      <c r="F29" s="3">
        <v>1.00999999046326</v>
      </c>
      <c r="G29" s="3">
        <v>0.0</v>
      </c>
      <c r="H29" s="3">
        <v>0.0</v>
      </c>
      <c r="I29" s="3">
        <v>0.0</v>
      </c>
      <c r="J29" s="3">
        <v>1.00999999046326</v>
      </c>
      <c r="K29" s="3">
        <v>0.00999999977648258</v>
      </c>
      <c r="L29" s="3">
        <v>0.0</v>
      </c>
      <c r="M29" s="3">
        <v>0.0</v>
      </c>
      <c r="N29" s="3">
        <v>88.0</v>
      </c>
      <c r="O29" s="3">
        <v>1352.0</v>
      </c>
      <c r="P29" s="3">
        <v>1327.0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>
        <v>1.624580081E9</v>
      </c>
      <c r="B30" s="4">
        <v>42463.0</v>
      </c>
      <c r="C30" s="5">
        <f t="shared" si="1"/>
        <v>42463</v>
      </c>
      <c r="D30" s="3">
        <v>2910.0</v>
      </c>
      <c r="E30" s="3">
        <v>1.88999998569489</v>
      </c>
      <c r="F30" s="3">
        <v>1.88999998569489</v>
      </c>
      <c r="G30" s="3">
        <v>0.0</v>
      </c>
      <c r="H30" s="3">
        <v>0.0</v>
      </c>
      <c r="I30" s="3">
        <v>0.0</v>
      </c>
      <c r="J30" s="3">
        <v>1.87999999523163</v>
      </c>
      <c r="K30" s="3">
        <v>0.00999999977648258</v>
      </c>
      <c r="L30" s="3">
        <v>0.0</v>
      </c>
      <c r="M30" s="3">
        <v>0.0</v>
      </c>
      <c r="N30" s="3">
        <v>157.0</v>
      </c>
      <c r="O30" s="3">
        <v>1283.0</v>
      </c>
      <c r="P30" s="3">
        <v>1452.0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>
        <v>1.624580081E9</v>
      </c>
      <c r="B31" s="4">
        <v>42464.0</v>
      </c>
      <c r="C31" s="5">
        <f t="shared" si="1"/>
        <v>42464</v>
      </c>
      <c r="D31" s="3">
        <v>18464.0</v>
      </c>
      <c r="E31" s="3">
        <v>12.0</v>
      </c>
      <c r="F31" s="3">
        <v>12.0</v>
      </c>
      <c r="G31" s="3">
        <v>0.0</v>
      </c>
      <c r="H31" s="3">
        <v>0.0</v>
      </c>
      <c r="I31" s="3">
        <v>0.0</v>
      </c>
      <c r="J31" s="3">
        <v>12.0</v>
      </c>
      <c r="K31" s="3">
        <v>0.0</v>
      </c>
      <c r="L31" s="3">
        <v>0.0</v>
      </c>
      <c r="M31" s="3">
        <v>0.0</v>
      </c>
      <c r="N31" s="3">
        <v>270.0</v>
      </c>
      <c r="O31" s="3">
        <v>1170.0</v>
      </c>
      <c r="P31" s="3">
        <v>1574.0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>
        <v>1.624580081E9</v>
      </c>
      <c r="B32" s="4">
        <v>42465.0</v>
      </c>
      <c r="C32" s="5">
        <f t="shared" si="1"/>
        <v>42465</v>
      </c>
      <c r="D32" s="3">
        <v>1335.0</v>
      </c>
      <c r="E32" s="3">
        <v>0.870000004768372</v>
      </c>
      <c r="F32" s="3">
        <v>0.870000004768372</v>
      </c>
      <c r="G32" s="3">
        <v>0.0</v>
      </c>
      <c r="H32" s="3">
        <v>0.0</v>
      </c>
      <c r="I32" s="3">
        <v>0.0</v>
      </c>
      <c r="J32" s="3">
        <v>0.870000004768372</v>
      </c>
      <c r="K32" s="3">
        <v>0.0</v>
      </c>
      <c r="L32" s="3">
        <v>0.0</v>
      </c>
      <c r="M32" s="3">
        <v>0.0</v>
      </c>
      <c r="N32" s="3">
        <v>74.0</v>
      </c>
      <c r="O32" s="3">
        <v>1366.0</v>
      </c>
      <c r="P32" s="3">
        <v>1308.0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>
        <v>1.624580081E9</v>
      </c>
      <c r="B33" s="4">
        <v>42466.0</v>
      </c>
      <c r="C33" s="5">
        <f t="shared" si="1"/>
        <v>42466</v>
      </c>
      <c r="D33" s="3">
        <v>1004.0</v>
      </c>
      <c r="E33" s="3">
        <v>0.649999976158142</v>
      </c>
      <c r="F33" s="3">
        <v>0.649999976158142</v>
      </c>
      <c r="G33" s="3">
        <v>0.0</v>
      </c>
      <c r="H33" s="3">
        <v>0.0</v>
      </c>
      <c r="I33" s="3">
        <v>0.0</v>
      </c>
      <c r="J33" s="3">
        <v>0.649999976158142</v>
      </c>
      <c r="K33" s="3">
        <v>0.0</v>
      </c>
      <c r="L33" s="3">
        <v>0.0</v>
      </c>
      <c r="M33" s="3">
        <v>0.0</v>
      </c>
      <c r="N33" s="3">
        <v>55.0</v>
      </c>
      <c r="O33" s="3">
        <v>1385.0</v>
      </c>
      <c r="P33" s="3">
        <v>1276.0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>
        <v>1.624580081E9</v>
      </c>
      <c r="B34" s="4">
        <v>42467.0</v>
      </c>
      <c r="C34" s="5">
        <f t="shared" si="1"/>
        <v>42467</v>
      </c>
      <c r="D34" s="3">
        <v>1111.0</v>
      </c>
      <c r="E34" s="3">
        <v>0.720000028610229</v>
      </c>
      <c r="F34" s="3">
        <v>0.720000028610229</v>
      </c>
      <c r="G34" s="3">
        <v>0.0</v>
      </c>
      <c r="H34" s="3">
        <v>0.0</v>
      </c>
      <c r="I34" s="3">
        <v>0.0</v>
      </c>
      <c r="J34" s="3">
        <v>0.720000028610229</v>
      </c>
      <c r="K34" s="3">
        <v>0.0</v>
      </c>
      <c r="L34" s="3">
        <v>0.0</v>
      </c>
      <c r="M34" s="3">
        <v>0.0</v>
      </c>
      <c r="N34" s="3">
        <v>54.0</v>
      </c>
      <c r="O34" s="3">
        <v>1386.0</v>
      </c>
      <c r="P34" s="3">
        <v>1278.0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>
        <v>1.624580081E9</v>
      </c>
      <c r="B35" s="4">
        <v>42468.0</v>
      </c>
      <c r="C35" s="5">
        <f t="shared" si="1"/>
        <v>42468</v>
      </c>
      <c r="D35" s="3">
        <v>6344.0</v>
      </c>
      <c r="E35" s="3">
        <v>4.11999988555908</v>
      </c>
      <c r="F35" s="3">
        <v>4.11999988555908</v>
      </c>
      <c r="G35" s="3">
        <v>0.0</v>
      </c>
      <c r="H35" s="3">
        <v>0.0</v>
      </c>
      <c r="I35" s="3">
        <v>0.0</v>
      </c>
      <c r="J35" s="3">
        <v>4.09999990463257</v>
      </c>
      <c r="K35" s="3">
        <v>0.0</v>
      </c>
      <c r="L35" s="3">
        <v>0.0</v>
      </c>
      <c r="M35" s="3">
        <v>0.0</v>
      </c>
      <c r="N35" s="3">
        <v>143.0</v>
      </c>
      <c r="O35" s="3">
        <v>1297.0</v>
      </c>
      <c r="P35" s="3">
        <v>1409.0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>
        <v>1.624580081E9</v>
      </c>
      <c r="B36" s="4">
        <v>42469.0</v>
      </c>
      <c r="C36" s="5">
        <f t="shared" si="1"/>
        <v>42469</v>
      </c>
      <c r="D36" s="3">
        <v>3572.0</v>
      </c>
      <c r="E36" s="3">
        <v>2.3199999332428</v>
      </c>
      <c r="F36" s="3">
        <v>2.3199999332428</v>
      </c>
      <c r="G36" s="3">
        <v>0.0</v>
      </c>
      <c r="H36" s="3">
        <v>0.0</v>
      </c>
      <c r="I36" s="3">
        <v>0.0</v>
      </c>
      <c r="J36" s="3">
        <v>2.28999996185303</v>
      </c>
      <c r="K36" s="3">
        <v>0.0299999993294477</v>
      </c>
      <c r="L36" s="3">
        <v>0.0</v>
      </c>
      <c r="M36" s="3">
        <v>0.0</v>
      </c>
      <c r="N36" s="3">
        <v>122.0</v>
      </c>
      <c r="O36" s="3">
        <v>1318.0</v>
      </c>
      <c r="P36" s="3">
        <v>1370.0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>
        <v>1.624580081E9</v>
      </c>
      <c r="B37" s="4">
        <v>42470.0</v>
      </c>
      <c r="C37" s="5">
        <f t="shared" si="1"/>
        <v>42470</v>
      </c>
      <c r="D37" s="3">
        <v>3910.0</v>
      </c>
      <c r="E37" s="3">
        <v>2.53999996185303</v>
      </c>
      <c r="F37" s="3">
        <v>2.53999996185303</v>
      </c>
      <c r="G37" s="3">
        <v>0.0</v>
      </c>
      <c r="H37" s="3">
        <v>0.469999998807907</v>
      </c>
      <c r="I37" s="3">
        <v>0.25</v>
      </c>
      <c r="J37" s="3">
        <v>1.80999994277954</v>
      </c>
      <c r="K37" s="3">
        <v>0.00999999977648258</v>
      </c>
      <c r="L37" s="3">
        <v>7.0</v>
      </c>
      <c r="M37" s="3">
        <v>7.0</v>
      </c>
      <c r="N37" s="3">
        <v>186.0</v>
      </c>
      <c r="O37" s="3">
        <v>1240.0</v>
      </c>
      <c r="P37" s="3">
        <v>1555.0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>
        <v>1.624580081E9</v>
      </c>
      <c r="B38" s="4">
        <v>42471.0</v>
      </c>
      <c r="C38" s="5">
        <f t="shared" si="1"/>
        <v>42471</v>
      </c>
      <c r="D38" s="3">
        <v>10000.0</v>
      </c>
      <c r="E38" s="3">
        <v>6.5</v>
      </c>
      <c r="F38" s="3">
        <v>6.5</v>
      </c>
      <c r="G38" s="3">
        <v>0.0</v>
      </c>
      <c r="H38" s="3">
        <v>0.0</v>
      </c>
      <c r="I38" s="3">
        <v>0.0</v>
      </c>
      <c r="J38" s="3">
        <v>6.5</v>
      </c>
      <c r="K38" s="3">
        <v>0.0</v>
      </c>
      <c r="L38" s="3">
        <v>0.0</v>
      </c>
      <c r="M38" s="3">
        <v>0.0</v>
      </c>
      <c r="N38" s="3">
        <v>172.0</v>
      </c>
      <c r="O38" s="3">
        <v>1268.0</v>
      </c>
      <c r="P38" s="3">
        <v>1469.0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>
        <v>1.624580081E9</v>
      </c>
      <c r="B39" s="4">
        <v>42472.0</v>
      </c>
      <c r="C39" s="5">
        <f t="shared" si="1"/>
        <v>42472</v>
      </c>
      <c r="D39" s="3">
        <v>6627.0</v>
      </c>
      <c r="E39" s="3">
        <v>4.30999994277954</v>
      </c>
      <c r="F39" s="3">
        <v>4.30999994277954</v>
      </c>
      <c r="G39" s="3">
        <v>0.0</v>
      </c>
      <c r="H39" s="3">
        <v>0.0</v>
      </c>
      <c r="I39" s="3">
        <v>0.0</v>
      </c>
      <c r="J39" s="3">
        <v>4.30999994277954</v>
      </c>
      <c r="K39" s="3">
        <v>0.0</v>
      </c>
      <c r="L39" s="3">
        <v>0.0</v>
      </c>
      <c r="M39" s="3">
        <v>0.0</v>
      </c>
      <c r="N39" s="3">
        <v>89.0</v>
      </c>
      <c r="O39" s="3">
        <v>604.0</v>
      </c>
      <c r="P39" s="3">
        <v>706.0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>
        <v>1.644430081E9</v>
      </c>
      <c r="B40" s="4">
        <v>42461.0</v>
      </c>
      <c r="C40" s="5">
        <f t="shared" si="1"/>
        <v>42461</v>
      </c>
      <c r="D40" s="3">
        <v>4636.0</v>
      </c>
      <c r="E40" s="3">
        <v>3.41000008583069</v>
      </c>
      <c r="F40" s="3">
        <v>3.41000008583069</v>
      </c>
      <c r="G40" s="3">
        <v>0.0</v>
      </c>
      <c r="H40" s="3">
        <v>0.0</v>
      </c>
      <c r="I40" s="3">
        <v>0.779999971389771</v>
      </c>
      <c r="J40" s="3">
        <v>2.59999990463257</v>
      </c>
      <c r="K40" s="3">
        <v>0.0299999993294477</v>
      </c>
      <c r="L40" s="3">
        <v>0.0</v>
      </c>
      <c r="M40" s="3">
        <v>16.0</v>
      </c>
      <c r="N40" s="3">
        <v>586.0</v>
      </c>
      <c r="O40" s="3">
        <v>838.0</v>
      </c>
      <c r="P40" s="3">
        <v>3323.0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>
        <v>1.644430081E9</v>
      </c>
      <c r="B41" s="4">
        <v>42462.0</v>
      </c>
      <c r="C41" s="5">
        <f t="shared" si="1"/>
        <v>42462</v>
      </c>
      <c r="D41" s="3">
        <v>20237.0</v>
      </c>
      <c r="E41" s="3">
        <v>14.710000038147</v>
      </c>
      <c r="F41" s="3">
        <v>14.710000038147</v>
      </c>
      <c r="G41" s="3">
        <v>0.0</v>
      </c>
      <c r="H41" s="3">
        <v>2.5699999332428</v>
      </c>
      <c r="I41" s="3">
        <v>6.40000009536743</v>
      </c>
      <c r="J41" s="3">
        <v>5.73000001907349</v>
      </c>
      <c r="K41" s="3">
        <v>0.00999999977648258</v>
      </c>
      <c r="L41" s="3">
        <v>34.0</v>
      </c>
      <c r="M41" s="3">
        <v>141.0</v>
      </c>
      <c r="N41" s="3">
        <v>347.0</v>
      </c>
      <c r="O41" s="3">
        <v>918.0</v>
      </c>
      <c r="P41" s="3">
        <v>4029.0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>
        <v>1.644430081E9</v>
      </c>
      <c r="B42" s="4">
        <v>42463.0</v>
      </c>
      <c r="C42" s="5">
        <f t="shared" si="1"/>
        <v>42463</v>
      </c>
      <c r="D42" s="3">
        <v>12912.0</v>
      </c>
      <c r="E42" s="3">
        <v>9.40999984741211</v>
      </c>
      <c r="F42" s="3">
        <v>9.40999984741211</v>
      </c>
      <c r="G42" s="3">
        <v>0.0</v>
      </c>
      <c r="H42" s="3">
        <v>4.82999992370605</v>
      </c>
      <c r="I42" s="3">
        <v>0.769999980926514</v>
      </c>
      <c r="J42" s="3">
        <v>3.78999996185303</v>
      </c>
      <c r="K42" s="3">
        <v>0.0299999993294477</v>
      </c>
      <c r="L42" s="3">
        <v>59.0</v>
      </c>
      <c r="M42" s="3">
        <v>16.0</v>
      </c>
      <c r="N42" s="3">
        <v>283.0</v>
      </c>
      <c r="O42" s="3">
        <v>1082.0</v>
      </c>
      <c r="P42" s="3">
        <v>3436.0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>
        <v>1.644430081E9</v>
      </c>
      <c r="B43" s="4">
        <v>42464.0</v>
      </c>
      <c r="C43" s="5">
        <f t="shared" si="1"/>
        <v>42464</v>
      </c>
      <c r="D43" s="3">
        <v>2819.0</v>
      </c>
      <c r="E43" s="3">
        <v>2.04999995231628</v>
      </c>
      <c r="F43" s="3">
        <v>2.04999995231628</v>
      </c>
      <c r="G43" s="3">
        <v>0.0</v>
      </c>
      <c r="H43" s="3">
        <v>0.310000002384186</v>
      </c>
      <c r="I43" s="3">
        <v>0.170000001788139</v>
      </c>
      <c r="J43" s="3">
        <v>1.55999994277954</v>
      </c>
      <c r="K43" s="3">
        <v>0.00999999977648258</v>
      </c>
      <c r="L43" s="3">
        <v>4.0</v>
      </c>
      <c r="M43" s="3">
        <v>4.0</v>
      </c>
      <c r="N43" s="3">
        <v>87.0</v>
      </c>
      <c r="O43" s="3">
        <v>1345.0</v>
      </c>
      <c r="P43" s="3">
        <v>2444.0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>
        <v>1.644430081E9</v>
      </c>
      <c r="B44" s="4">
        <v>42465.0</v>
      </c>
      <c r="C44" s="5">
        <f t="shared" si="1"/>
        <v>42465</v>
      </c>
      <c r="D44" s="3">
        <v>9921.0</v>
      </c>
      <c r="E44" s="3">
        <v>7.21000003814697</v>
      </c>
      <c r="F44" s="3">
        <v>7.21000003814697</v>
      </c>
      <c r="G44" s="3">
        <v>0.0</v>
      </c>
      <c r="H44" s="3">
        <v>0.340000003576279</v>
      </c>
      <c r="I44" s="3">
        <v>1.51999998092651</v>
      </c>
      <c r="J44" s="3">
        <v>5.3600001335144</v>
      </c>
      <c r="K44" s="3">
        <v>0.0</v>
      </c>
      <c r="L44" s="3">
        <v>5.0</v>
      </c>
      <c r="M44" s="3">
        <v>35.0</v>
      </c>
      <c r="N44" s="3">
        <v>219.0</v>
      </c>
      <c r="O44" s="3">
        <v>1181.0</v>
      </c>
      <c r="P44" s="3">
        <v>3098.0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>
        <v>1.644430081E9</v>
      </c>
      <c r="B45" s="4">
        <v>42466.0</v>
      </c>
      <c r="C45" s="5">
        <f t="shared" si="1"/>
        <v>42466</v>
      </c>
      <c r="D45" s="3">
        <v>8046.0</v>
      </c>
      <c r="E45" s="3">
        <v>5.84999990463257</v>
      </c>
      <c r="F45" s="3">
        <v>5.84999990463257</v>
      </c>
      <c r="G45" s="3">
        <v>0.0</v>
      </c>
      <c r="H45" s="3">
        <v>1.28999996185303</v>
      </c>
      <c r="I45" s="3">
        <v>2.11999988555908</v>
      </c>
      <c r="J45" s="3">
        <v>2.45000004768372</v>
      </c>
      <c r="K45" s="3">
        <v>0.0</v>
      </c>
      <c r="L45" s="3">
        <v>18.0</v>
      </c>
      <c r="M45" s="3">
        <v>41.0</v>
      </c>
      <c r="N45" s="3">
        <v>137.0</v>
      </c>
      <c r="O45" s="3">
        <v>1244.0</v>
      </c>
      <c r="P45" s="3">
        <v>2925.0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>
        <v>1.644430081E9</v>
      </c>
      <c r="B46" s="4">
        <v>42467.0</v>
      </c>
      <c r="C46" s="5">
        <f t="shared" si="1"/>
        <v>42467</v>
      </c>
      <c r="D46" s="3">
        <v>11166.0</v>
      </c>
      <c r="E46" s="3">
        <v>8.11999988555908</v>
      </c>
      <c r="F46" s="3">
        <v>8.11999988555908</v>
      </c>
      <c r="G46" s="3">
        <v>0.0</v>
      </c>
      <c r="H46" s="3">
        <v>0.209999993443489</v>
      </c>
      <c r="I46" s="3">
        <v>2.41000008583069</v>
      </c>
      <c r="J46" s="3">
        <v>5.5</v>
      </c>
      <c r="K46" s="3">
        <v>0.0</v>
      </c>
      <c r="L46" s="3">
        <v>3.0</v>
      </c>
      <c r="M46" s="3">
        <v>58.0</v>
      </c>
      <c r="N46" s="3">
        <v>230.0</v>
      </c>
      <c r="O46" s="3">
        <v>1149.0</v>
      </c>
      <c r="P46" s="3">
        <v>3202.0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>
        <v>1.644430081E9</v>
      </c>
      <c r="B47" s="4">
        <v>42468.0</v>
      </c>
      <c r="C47" s="5">
        <f t="shared" si="1"/>
        <v>42468</v>
      </c>
      <c r="D47" s="3">
        <v>7842.0</v>
      </c>
      <c r="E47" s="3">
        <v>5.69999980926514</v>
      </c>
      <c r="F47" s="3">
        <v>5.69999980926514</v>
      </c>
      <c r="G47" s="3">
        <v>0.0</v>
      </c>
      <c r="H47" s="3">
        <v>0.479999989271164</v>
      </c>
      <c r="I47" s="3">
        <v>2.41000008583069</v>
      </c>
      <c r="J47" s="3">
        <v>2.80999994277954</v>
      </c>
      <c r="K47" s="3">
        <v>0.0</v>
      </c>
      <c r="L47" s="3">
        <v>7.0</v>
      </c>
      <c r="M47" s="3">
        <v>43.0</v>
      </c>
      <c r="N47" s="3">
        <v>161.0</v>
      </c>
      <c r="O47" s="3">
        <v>1229.0</v>
      </c>
      <c r="P47" s="3">
        <v>2928.0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>
        <v>1.644430081E9</v>
      </c>
      <c r="B48" s="4">
        <v>42469.0</v>
      </c>
      <c r="C48" s="5">
        <f t="shared" si="1"/>
        <v>42469</v>
      </c>
      <c r="D48" s="3">
        <v>13840.0</v>
      </c>
      <c r="E48" s="3">
        <v>10.0600004196167</v>
      </c>
      <c r="F48" s="3">
        <v>10.0600004196167</v>
      </c>
      <c r="G48" s="3">
        <v>0.0</v>
      </c>
      <c r="H48" s="3">
        <v>1.30999994277954</v>
      </c>
      <c r="I48" s="3">
        <v>3.72000002861023</v>
      </c>
      <c r="J48" s="3">
        <v>5.03000020980835</v>
      </c>
      <c r="K48" s="3">
        <v>0.0</v>
      </c>
      <c r="L48" s="3">
        <v>18.0</v>
      </c>
      <c r="M48" s="3">
        <v>81.0</v>
      </c>
      <c r="N48" s="3">
        <v>192.0</v>
      </c>
      <c r="O48" s="3">
        <v>1149.0</v>
      </c>
      <c r="P48" s="3">
        <v>3290.0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>
        <v>1.644430081E9</v>
      </c>
      <c r="B49" s="4">
        <v>42470.0</v>
      </c>
      <c r="C49" s="5">
        <f t="shared" si="1"/>
        <v>42470</v>
      </c>
      <c r="D49" s="3">
        <v>1329.0</v>
      </c>
      <c r="E49" s="3">
        <v>0.970000028610229</v>
      </c>
      <c r="F49" s="3">
        <v>0.970000028610229</v>
      </c>
      <c r="G49" s="3">
        <v>0.0</v>
      </c>
      <c r="H49" s="3">
        <v>0.0</v>
      </c>
      <c r="I49" s="3">
        <v>0.0</v>
      </c>
      <c r="J49" s="3">
        <v>0.970000028610229</v>
      </c>
      <c r="K49" s="3">
        <v>0.0</v>
      </c>
      <c r="L49" s="3">
        <v>0.0</v>
      </c>
      <c r="M49" s="3">
        <v>0.0</v>
      </c>
      <c r="N49" s="3">
        <v>35.0</v>
      </c>
      <c r="O49" s="3">
        <v>207.0</v>
      </c>
      <c r="P49" s="3">
        <v>489.0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>
        <v>1.844505072E9</v>
      </c>
      <c r="B50" s="4">
        <v>42461.0</v>
      </c>
      <c r="C50" s="5">
        <f t="shared" si="1"/>
        <v>42461</v>
      </c>
      <c r="D50" s="3">
        <v>6847.0</v>
      </c>
      <c r="E50" s="3">
        <v>4.53000020980835</v>
      </c>
      <c r="F50" s="3">
        <v>4.53000020980835</v>
      </c>
      <c r="G50" s="3">
        <v>0.0</v>
      </c>
      <c r="H50" s="3">
        <v>0.610000014305115</v>
      </c>
      <c r="I50" s="3">
        <v>0.370000004768372</v>
      </c>
      <c r="J50" s="3">
        <v>3.54999995231628</v>
      </c>
      <c r="K50" s="3">
        <v>0.0</v>
      </c>
      <c r="L50" s="3">
        <v>9.0</v>
      </c>
      <c r="M50" s="3">
        <v>9.0</v>
      </c>
      <c r="N50" s="3">
        <v>251.0</v>
      </c>
      <c r="O50" s="3">
        <v>1171.0</v>
      </c>
      <c r="P50" s="3">
        <v>1969.0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>
        <v>1.844505072E9</v>
      </c>
      <c r="B51" s="4">
        <v>42462.0</v>
      </c>
      <c r="C51" s="5">
        <f t="shared" si="1"/>
        <v>42462</v>
      </c>
      <c r="D51" s="3">
        <v>5367.0</v>
      </c>
      <c r="E51" s="3">
        <v>3.54999995231628</v>
      </c>
      <c r="F51" s="3">
        <v>3.54999995231628</v>
      </c>
      <c r="G51" s="3">
        <v>0.0</v>
      </c>
      <c r="H51" s="3">
        <v>0.0</v>
      </c>
      <c r="I51" s="3">
        <v>0.0</v>
      </c>
      <c r="J51" s="3">
        <v>3.54999995231628</v>
      </c>
      <c r="K51" s="3">
        <v>0.0</v>
      </c>
      <c r="L51" s="3">
        <v>0.0</v>
      </c>
      <c r="M51" s="3">
        <v>0.0</v>
      </c>
      <c r="N51" s="3">
        <v>263.0</v>
      </c>
      <c r="O51" s="3">
        <v>1177.0</v>
      </c>
      <c r="P51" s="3">
        <v>1889.0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>
        <v>1.844505072E9</v>
      </c>
      <c r="B52" s="4">
        <v>42463.0</v>
      </c>
      <c r="C52" s="5">
        <f t="shared" si="1"/>
        <v>42463</v>
      </c>
      <c r="D52" s="3">
        <v>2841.0</v>
      </c>
      <c r="E52" s="3">
        <v>1.87999999523163</v>
      </c>
      <c r="F52" s="3">
        <v>1.87999999523163</v>
      </c>
      <c r="G52" s="3">
        <v>0.0</v>
      </c>
      <c r="H52" s="3">
        <v>0.0</v>
      </c>
      <c r="I52" s="3">
        <v>0.0</v>
      </c>
      <c r="J52" s="3">
        <v>1.87999999523163</v>
      </c>
      <c r="K52" s="3">
        <v>0.0</v>
      </c>
      <c r="L52" s="3">
        <v>0.0</v>
      </c>
      <c r="M52" s="3">
        <v>0.0</v>
      </c>
      <c r="N52" s="3">
        <v>136.0</v>
      </c>
      <c r="O52" s="3">
        <v>1114.0</v>
      </c>
      <c r="P52" s="3">
        <v>1636.0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>
        <v>1.844505072E9</v>
      </c>
      <c r="B53" s="4">
        <v>42464.0</v>
      </c>
      <c r="C53" s="5">
        <f t="shared" si="1"/>
        <v>42464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669.0</v>
      </c>
      <c r="P53" s="3">
        <v>1347.0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>
        <v>1.844505072E9</v>
      </c>
      <c r="B54" s="4">
        <v>42465.0</v>
      </c>
      <c r="C54" s="5">
        <f t="shared" si="1"/>
        <v>42465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1440.0</v>
      </c>
      <c r="P54" s="3">
        <v>1347.0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>
        <v>1.844505072E9</v>
      </c>
      <c r="B55" s="4">
        <v>42466.0</v>
      </c>
      <c r="C55" s="5">
        <f t="shared" si="1"/>
        <v>42466</v>
      </c>
      <c r="D55" s="3">
        <v>7.0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1.0</v>
      </c>
      <c r="O55" s="3">
        <v>1439.0</v>
      </c>
      <c r="P55" s="3">
        <v>1349.0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>
        <v>1.844505072E9</v>
      </c>
      <c r="B56" s="4">
        <v>42467.0</v>
      </c>
      <c r="C56" s="5">
        <f t="shared" si="1"/>
        <v>42467</v>
      </c>
      <c r="D56" s="3">
        <v>6344.0</v>
      </c>
      <c r="E56" s="3">
        <v>4.19000005722046</v>
      </c>
      <c r="F56" s="3">
        <v>4.19000005722046</v>
      </c>
      <c r="G56" s="3">
        <v>0.0</v>
      </c>
      <c r="H56" s="3">
        <v>0.0</v>
      </c>
      <c r="I56" s="3">
        <v>0.0</v>
      </c>
      <c r="J56" s="3">
        <v>4.19000005722046</v>
      </c>
      <c r="K56" s="3">
        <v>0.0</v>
      </c>
      <c r="L56" s="3">
        <v>0.0</v>
      </c>
      <c r="M56" s="3">
        <v>0.0</v>
      </c>
      <c r="N56" s="3">
        <v>290.0</v>
      </c>
      <c r="O56" s="3">
        <v>1150.0</v>
      </c>
      <c r="P56" s="3">
        <v>1965.0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>
        <v>1.844505072E9</v>
      </c>
      <c r="B57" s="4">
        <v>42468.0</v>
      </c>
      <c r="C57" s="5">
        <f t="shared" si="1"/>
        <v>42468</v>
      </c>
      <c r="D57" s="3">
        <v>5316.0</v>
      </c>
      <c r="E57" s="3">
        <v>3.50999999046326</v>
      </c>
      <c r="F57" s="3">
        <v>3.50999999046326</v>
      </c>
      <c r="G57" s="3">
        <v>0.0</v>
      </c>
      <c r="H57" s="3">
        <v>0.0</v>
      </c>
      <c r="I57" s="3">
        <v>0.0</v>
      </c>
      <c r="J57" s="3">
        <v>3.50999999046326</v>
      </c>
      <c r="K57" s="3">
        <v>0.0</v>
      </c>
      <c r="L57" s="3">
        <v>0.0</v>
      </c>
      <c r="M57" s="3">
        <v>0.0</v>
      </c>
      <c r="N57" s="3">
        <v>221.0</v>
      </c>
      <c r="O57" s="3">
        <v>1219.0</v>
      </c>
      <c r="P57" s="3">
        <v>1824.0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>
        <v>1.844505072E9</v>
      </c>
      <c r="B58" s="4">
        <v>42469.0</v>
      </c>
      <c r="C58" s="5">
        <f t="shared" si="1"/>
        <v>42469</v>
      </c>
      <c r="D58" s="3">
        <v>4979.0</v>
      </c>
      <c r="E58" s="3">
        <v>3.28999996185303</v>
      </c>
      <c r="F58" s="3">
        <v>3.28999996185303</v>
      </c>
      <c r="G58" s="3">
        <v>0.0</v>
      </c>
      <c r="H58" s="3">
        <v>0.0</v>
      </c>
      <c r="I58" s="3">
        <v>0.0</v>
      </c>
      <c r="J58" s="3">
        <v>3.28999996185303</v>
      </c>
      <c r="K58" s="3">
        <v>0.0</v>
      </c>
      <c r="L58" s="3">
        <v>0.0</v>
      </c>
      <c r="M58" s="3">
        <v>0.0</v>
      </c>
      <c r="N58" s="3">
        <v>184.0</v>
      </c>
      <c r="O58" s="3">
        <v>620.0</v>
      </c>
      <c r="P58" s="3">
        <v>1807.0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>
        <v>1.844505072E9</v>
      </c>
      <c r="B59" s="4">
        <v>42470.0</v>
      </c>
      <c r="C59" s="5">
        <f t="shared" si="1"/>
        <v>42470</v>
      </c>
      <c r="D59" s="3">
        <v>6556.0</v>
      </c>
      <c r="E59" s="3">
        <v>4.34000015258789</v>
      </c>
      <c r="F59" s="3">
        <v>4.34000015258789</v>
      </c>
      <c r="G59" s="3">
        <v>0.0</v>
      </c>
      <c r="H59" s="3">
        <v>0.0</v>
      </c>
      <c r="I59" s="3">
        <v>0.0</v>
      </c>
      <c r="J59" s="3">
        <v>4.32999992370605</v>
      </c>
      <c r="K59" s="3">
        <v>0.0</v>
      </c>
      <c r="L59" s="3">
        <v>0.0</v>
      </c>
      <c r="M59" s="3">
        <v>0.0</v>
      </c>
      <c r="N59" s="3">
        <v>305.0</v>
      </c>
      <c r="O59" s="3">
        <v>810.0</v>
      </c>
      <c r="P59" s="3">
        <v>1971.0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>
        <v>1.844505072E9</v>
      </c>
      <c r="B60" s="4">
        <v>42471.0</v>
      </c>
      <c r="C60" s="5">
        <f t="shared" si="1"/>
        <v>42471</v>
      </c>
      <c r="D60" s="3">
        <v>5430.0</v>
      </c>
      <c r="E60" s="3">
        <v>3.58999991416931</v>
      </c>
      <c r="F60" s="3">
        <v>3.58999991416931</v>
      </c>
      <c r="G60" s="3">
        <v>0.0</v>
      </c>
      <c r="H60" s="3">
        <v>0.0</v>
      </c>
      <c r="I60" s="3">
        <v>0.0</v>
      </c>
      <c r="J60" s="3">
        <v>3.58999991416931</v>
      </c>
      <c r="K60" s="3">
        <v>0.0</v>
      </c>
      <c r="L60" s="3">
        <v>0.0</v>
      </c>
      <c r="M60" s="3">
        <v>0.0</v>
      </c>
      <c r="N60" s="3">
        <v>251.0</v>
      </c>
      <c r="O60" s="3">
        <v>1189.0</v>
      </c>
      <c r="P60" s="3">
        <v>1888.0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>
        <v>1.844505072E9</v>
      </c>
      <c r="B61" s="4">
        <v>42472.0</v>
      </c>
      <c r="C61" s="5">
        <f t="shared" si="1"/>
        <v>42472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426.0</v>
      </c>
      <c r="P61" s="3">
        <v>399.0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>
        <v>1.927972279E9</v>
      </c>
      <c r="B62" s="4">
        <v>42461.0</v>
      </c>
      <c r="C62" s="5">
        <f t="shared" si="1"/>
        <v>42461</v>
      </c>
      <c r="D62" s="3">
        <v>4317.0</v>
      </c>
      <c r="E62" s="3">
        <v>2.99000000953674</v>
      </c>
      <c r="F62" s="3">
        <v>2.99000000953674</v>
      </c>
      <c r="G62" s="3">
        <v>0.0</v>
      </c>
      <c r="H62" s="3">
        <v>0.0</v>
      </c>
      <c r="I62" s="3">
        <v>0.370000004768372</v>
      </c>
      <c r="J62" s="3">
        <v>2.61999988555908</v>
      </c>
      <c r="K62" s="3">
        <v>0.0</v>
      </c>
      <c r="L62" s="3">
        <v>0.0</v>
      </c>
      <c r="M62" s="3">
        <v>11.0</v>
      </c>
      <c r="N62" s="3">
        <v>192.0</v>
      </c>
      <c r="O62" s="3">
        <v>854.0</v>
      </c>
      <c r="P62" s="3">
        <v>2590.0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>
        <v>1.927972279E9</v>
      </c>
      <c r="B63" s="4">
        <v>42462.0</v>
      </c>
      <c r="C63" s="5">
        <f t="shared" si="1"/>
        <v>42462</v>
      </c>
      <c r="D63" s="3">
        <v>5662.0</v>
      </c>
      <c r="E63" s="3">
        <v>3.92000007629395</v>
      </c>
      <c r="F63" s="3">
        <v>3.92000007629395</v>
      </c>
      <c r="G63" s="3">
        <v>0.0</v>
      </c>
      <c r="H63" s="3">
        <v>0.0</v>
      </c>
      <c r="I63" s="3">
        <v>0.0</v>
      </c>
      <c r="J63" s="3">
        <v>3.92000007629395</v>
      </c>
      <c r="K63" s="3">
        <v>0.0</v>
      </c>
      <c r="L63" s="3">
        <v>0.0</v>
      </c>
      <c r="M63" s="3">
        <v>0.0</v>
      </c>
      <c r="N63" s="3">
        <v>267.0</v>
      </c>
      <c r="O63" s="3">
        <v>858.0</v>
      </c>
      <c r="P63" s="3">
        <v>2783.0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>
        <v>1.927972279E9</v>
      </c>
      <c r="B64" s="4">
        <v>42463.0</v>
      </c>
      <c r="C64" s="5">
        <f t="shared" si="1"/>
        <v>42463</v>
      </c>
      <c r="D64" s="3">
        <v>3198.0</v>
      </c>
      <c r="E64" s="3">
        <v>2.21000003814697</v>
      </c>
      <c r="F64" s="3">
        <v>2.21000003814697</v>
      </c>
      <c r="G64" s="3">
        <v>0.0</v>
      </c>
      <c r="H64" s="3">
        <v>0.0</v>
      </c>
      <c r="I64" s="3">
        <v>0.0</v>
      </c>
      <c r="J64" s="3">
        <v>2.21000003814697</v>
      </c>
      <c r="K64" s="3">
        <v>0.0</v>
      </c>
      <c r="L64" s="3">
        <v>0.0</v>
      </c>
      <c r="M64" s="3">
        <v>0.0</v>
      </c>
      <c r="N64" s="3">
        <v>146.0</v>
      </c>
      <c r="O64" s="3">
        <v>1183.0</v>
      </c>
      <c r="P64" s="3">
        <v>2449.0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>
        <v>1.927972279E9</v>
      </c>
      <c r="B65" s="4">
        <v>42464.0</v>
      </c>
      <c r="C65" s="5">
        <f t="shared" si="1"/>
        <v>42464</v>
      </c>
      <c r="D65" s="3">
        <v>2352.0</v>
      </c>
      <c r="E65" s="3">
        <v>1.62999999523163</v>
      </c>
      <c r="F65" s="3">
        <v>1.62999999523163</v>
      </c>
      <c r="G65" s="3">
        <v>0.0</v>
      </c>
      <c r="H65" s="3">
        <v>0.0</v>
      </c>
      <c r="I65" s="3">
        <v>0.0</v>
      </c>
      <c r="J65" s="3">
        <v>1.62999999523163</v>
      </c>
      <c r="K65" s="3">
        <v>0.0</v>
      </c>
      <c r="L65" s="3">
        <v>0.0</v>
      </c>
      <c r="M65" s="3">
        <v>0.0</v>
      </c>
      <c r="N65" s="3">
        <v>128.0</v>
      </c>
      <c r="O65" s="3">
        <v>829.0</v>
      </c>
      <c r="P65" s="3">
        <v>2380.0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>
        <v>1.927972279E9</v>
      </c>
      <c r="B66" s="4">
        <v>42465.0</v>
      </c>
      <c r="C66" s="5">
        <f t="shared" si="1"/>
        <v>42465</v>
      </c>
      <c r="D66" s="3">
        <v>2234.0</v>
      </c>
      <c r="E66" s="3">
        <v>1.54999995231628</v>
      </c>
      <c r="F66" s="3">
        <v>1.54999995231628</v>
      </c>
      <c r="G66" s="3">
        <v>0.0</v>
      </c>
      <c r="H66" s="3">
        <v>0.0</v>
      </c>
      <c r="I66" s="3">
        <v>0.0</v>
      </c>
      <c r="J66" s="3">
        <v>1.54999995231628</v>
      </c>
      <c r="K66" s="3">
        <v>0.0</v>
      </c>
      <c r="L66" s="3">
        <v>0.0</v>
      </c>
      <c r="M66" s="3">
        <v>0.0</v>
      </c>
      <c r="N66" s="3">
        <v>108.0</v>
      </c>
      <c r="O66" s="3">
        <v>912.0</v>
      </c>
      <c r="P66" s="3">
        <v>2344.0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>
        <v>1.927972279E9</v>
      </c>
      <c r="B67" s="4">
        <v>42466.0</v>
      </c>
      <c r="C67" s="5">
        <f t="shared" si="1"/>
        <v>42466</v>
      </c>
      <c r="D67" s="3">
        <v>1259.0</v>
      </c>
      <c r="E67" s="3">
        <v>0.870000004768372</v>
      </c>
      <c r="F67" s="3">
        <v>0.870000004768372</v>
      </c>
      <c r="G67" s="3">
        <v>0.0</v>
      </c>
      <c r="H67" s="3">
        <v>0.0</v>
      </c>
      <c r="I67" s="3">
        <v>0.0</v>
      </c>
      <c r="J67" s="3">
        <v>0.870000004768372</v>
      </c>
      <c r="K67" s="3">
        <v>0.0</v>
      </c>
      <c r="L67" s="3">
        <v>0.0</v>
      </c>
      <c r="M67" s="3">
        <v>0.0</v>
      </c>
      <c r="N67" s="3">
        <v>73.0</v>
      </c>
      <c r="O67" s="3">
        <v>938.0</v>
      </c>
      <c r="P67" s="3">
        <v>2202.0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>
        <v>1.927972279E9</v>
      </c>
      <c r="B68" s="4">
        <v>42467.0</v>
      </c>
      <c r="C68" s="5">
        <f t="shared" si="1"/>
        <v>42467</v>
      </c>
      <c r="D68" s="3">
        <v>768.0</v>
      </c>
      <c r="E68" s="3">
        <v>0.529999971389771</v>
      </c>
      <c r="F68" s="3">
        <v>0.529999971389771</v>
      </c>
      <c r="G68" s="3">
        <v>0.0</v>
      </c>
      <c r="H68" s="3">
        <v>0.0</v>
      </c>
      <c r="I68" s="3">
        <v>0.0</v>
      </c>
      <c r="J68" s="3">
        <v>0.529999971389771</v>
      </c>
      <c r="K68" s="3">
        <v>0.0</v>
      </c>
      <c r="L68" s="3">
        <v>0.0</v>
      </c>
      <c r="M68" s="3">
        <v>0.0</v>
      </c>
      <c r="N68" s="3">
        <v>43.0</v>
      </c>
      <c r="O68" s="3">
        <v>1397.0</v>
      </c>
      <c r="P68" s="3">
        <v>2130.0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>
        <v>1.927972279E9</v>
      </c>
      <c r="B69" s="4">
        <v>42468.0</v>
      </c>
      <c r="C69" s="5">
        <f t="shared" si="1"/>
        <v>42468</v>
      </c>
      <c r="D69" s="3">
        <v>519.0</v>
      </c>
      <c r="E69" s="3">
        <v>0.360000014305115</v>
      </c>
      <c r="F69" s="3">
        <v>0.360000014305115</v>
      </c>
      <c r="G69" s="3">
        <v>0.0</v>
      </c>
      <c r="H69" s="3">
        <v>0.0</v>
      </c>
      <c r="I69" s="3">
        <v>0.0</v>
      </c>
      <c r="J69" s="3">
        <v>0.360000014305115</v>
      </c>
      <c r="K69" s="3">
        <v>0.0</v>
      </c>
      <c r="L69" s="3">
        <v>0.0</v>
      </c>
      <c r="M69" s="3">
        <v>0.0</v>
      </c>
      <c r="N69" s="3">
        <v>34.0</v>
      </c>
      <c r="O69" s="3">
        <v>1406.0</v>
      </c>
      <c r="P69" s="3">
        <v>2088.0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>
        <v>1.927972279E9</v>
      </c>
      <c r="B70" s="4">
        <v>42469.0</v>
      </c>
      <c r="C70" s="5">
        <f t="shared" si="1"/>
        <v>42469</v>
      </c>
      <c r="D70" s="3">
        <v>2523.0</v>
      </c>
      <c r="E70" s="3">
        <v>1.75</v>
      </c>
      <c r="F70" s="3">
        <v>1.75</v>
      </c>
      <c r="G70" s="3">
        <v>0.0</v>
      </c>
      <c r="H70" s="3">
        <v>0.0</v>
      </c>
      <c r="I70" s="3">
        <v>0.370000004768372</v>
      </c>
      <c r="J70" s="3">
        <v>1.37999999523163</v>
      </c>
      <c r="K70" s="3">
        <v>0.0</v>
      </c>
      <c r="L70" s="3">
        <v>0.0</v>
      </c>
      <c r="M70" s="3">
        <v>9.0</v>
      </c>
      <c r="N70" s="3">
        <v>134.0</v>
      </c>
      <c r="O70" s="3">
        <v>1250.0</v>
      </c>
      <c r="P70" s="3">
        <v>2443.0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>
        <v>1.927972279E9</v>
      </c>
      <c r="B71" s="4">
        <v>42470.0</v>
      </c>
      <c r="C71" s="5">
        <f t="shared" si="1"/>
        <v>42470</v>
      </c>
      <c r="D71" s="3">
        <v>2105.0</v>
      </c>
      <c r="E71" s="3">
        <v>1.46000003814697</v>
      </c>
      <c r="F71" s="3">
        <v>1.46000003814697</v>
      </c>
      <c r="G71" s="3">
        <v>0.0</v>
      </c>
      <c r="H71" s="3">
        <v>0.0</v>
      </c>
      <c r="I71" s="3">
        <v>0.0</v>
      </c>
      <c r="J71" s="3">
        <v>1.46000003814697</v>
      </c>
      <c r="K71" s="3">
        <v>0.0</v>
      </c>
      <c r="L71" s="3">
        <v>0.0</v>
      </c>
      <c r="M71" s="3">
        <v>0.0</v>
      </c>
      <c r="N71" s="3">
        <v>139.0</v>
      </c>
      <c r="O71" s="3">
        <v>805.0</v>
      </c>
      <c r="P71" s="3">
        <v>2442.0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>
        <v>1.927972279E9</v>
      </c>
      <c r="B72" s="4">
        <v>42471.0</v>
      </c>
      <c r="C72" s="5">
        <f t="shared" si="1"/>
        <v>42471</v>
      </c>
      <c r="D72" s="3">
        <v>1209.0</v>
      </c>
      <c r="E72" s="3">
        <v>0.839999973773956</v>
      </c>
      <c r="F72" s="3">
        <v>0.839999973773956</v>
      </c>
      <c r="G72" s="3">
        <v>0.0</v>
      </c>
      <c r="H72" s="3">
        <v>0.0</v>
      </c>
      <c r="I72" s="3">
        <v>0.0</v>
      </c>
      <c r="J72" s="3">
        <v>0.839999973773956</v>
      </c>
      <c r="K72" s="3">
        <v>0.0</v>
      </c>
      <c r="L72" s="3">
        <v>0.0</v>
      </c>
      <c r="M72" s="3">
        <v>0.0</v>
      </c>
      <c r="N72" s="3">
        <v>73.0</v>
      </c>
      <c r="O72" s="3">
        <v>842.0</v>
      </c>
      <c r="P72" s="3">
        <v>2255.0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>
        <v>1.927972279E9</v>
      </c>
      <c r="B73" s="4">
        <v>42472.0</v>
      </c>
      <c r="C73" s="5">
        <f t="shared" si="1"/>
        <v>42472</v>
      </c>
      <c r="D73" s="3">
        <v>24.0</v>
      </c>
      <c r="E73" s="3">
        <v>0.0199999995529652</v>
      </c>
      <c r="F73" s="3">
        <v>0.0199999995529652</v>
      </c>
      <c r="G73" s="3">
        <v>0.0</v>
      </c>
      <c r="H73" s="3">
        <v>0.0</v>
      </c>
      <c r="I73" s="3">
        <v>0.0</v>
      </c>
      <c r="J73" s="3">
        <v>0.0199999995529652</v>
      </c>
      <c r="K73" s="3">
        <v>0.0</v>
      </c>
      <c r="L73" s="3">
        <v>0.0</v>
      </c>
      <c r="M73" s="3">
        <v>0.0</v>
      </c>
      <c r="N73" s="3">
        <v>3.0</v>
      </c>
      <c r="O73" s="3">
        <v>161.0</v>
      </c>
      <c r="P73" s="3">
        <v>942.0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>
        <v>2.022484408E9</v>
      </c>
      <c r="B74" s="4">
        <v>42461.0</v>
      </c>
      <c r="C74" s="5">
        <f t="shared" si="1"/>
        <v>42461</v>
      </c>
      <c r="D74" s="3">
        <v>13603.0</v>
      </c>
      <c r="E74" s="3">
        <v>9.60000038146973</v>
      </c>
      <c r="F74" s="3">
        <v>9.60000038146973</v>
      </c>
      <c r="G74" s="3">
        <v>0.0</v>
      </c>
      <c r="H74" s="3">
        <v>5.46000003814697</v>
      </c>
      <c r="I74" s="3">
        <v>0.629999995231628</v>
      </c>
      <c r="J74" s="3">
        <v>3.50999999046326</v>
      </c>
      <c r="K74" s="3">
        <v>0.0</v>
      </c>
      <c r="L74" s="3">
        <v>72.0</v>
      </c>
      <c r="M74" s="3">
        <v>16.0</v>
      </c>
      <c r="N74" s="3">
        <v>213.0</v>
      </c>
      <c r="O74" s="3">
        <v>1139.0</v>
      </c>
      <c r="P74" s="3">
        <v>2645.0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>
        <v>2.022484408E9</v>
      </c>
      <c r="B75" s="4">
        <v>42462.0</v>
      </c>
      <c r="C75" s="5">
        <f t="shared" si="1"/>
        <v>42462</v>
      </c>
      <c r="D75" s="3">
        <v>5477.0</v>
      </c>
      <c r="E75" s="3">
        <v>3.83999991416931</v>
      </c>
      <c r="F75" s="3">
        <v>3.83999991416931</v>
      </c>
      <c r="G75" s="3">
        <v>0.0</v>
      </c>
      <c r="H75" s="3">
        <v>0.0</v>
      </c>
      <c r="I75" s="3">
        <v>0.0</v>
      </c>
      <c r="J75" s="3">
        <v>3.83999991416931</v>
      </c>
      <c r="K75" s="3">
        <v>0.0</v>
      </c>
      <c r="L75" s="3">
        <v>0.0</v>
      </c>
      <c r="M75" s="3">
        <v>0.0</v>
      </c>
      <c r="N75" s="3">
        <v>237.0</v>
      </c>
      <c r="O75" s="3">
        <v>1203.0</v>
      </c>
      <c r="P75" s="3">
        <v>2040.0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>
        <v>2.022484408E9</v>
      </c>
      <c r="B76" s="4">
        <v>42463.0</v>
      </c>
      <c r="C76" s="5">
        <f t="shared" si="1"/>
        <v>42463</v>
      </c>
      <c r="D76" s="3">
        <v>11144.0</v>
      </c>
      <c r="E76" s="3">
        <v>7.82000017166138</v>
      </c>
      <c r="F76" s="3">
        <v>7.82000017166138</v>
      </c>
      <c r="G76" s="3">
        <v>0.0</v>
      </c>
      <c r="H76" s="3">
        <v>1.78999996185303</v>
      </c>
      <c r="I76" s="3">
        <v>0.889999985694885</v>
      </c>
      <c r="J76" s="3">
        <v>5.1399998664856</v>
      </c>
      <c r="K76" s="3">
        <v>0.0</v>
      </c>
      <c r="L76" s="3">
        <v>25.0</v>
      </c>
      <c r="M76" s="3">
        <v>22.0</v>
      </c>
      <c r="N76" s="3">
        <v>279.0</v>
      </c>
      <c r="O76" s="3">
        <v>1114.0</v>
      </c>
      <c r="P76" s="3">
        <v>2395.0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>
        <v>2.022484408E9</v>
      </c>
      <c r="B77" s="4">
        <v>42464.0</v>
      </c>
      <c r="C77" s="5">
        <f t="shared" si="1"/>
        <v>42464</v>
      </c>
      <c r="D77" s="3">
        <v>15313.0</v>
      </c>
      <c r="E77" s="3">
        <v>11.0</v>
      </c>
      <c r="F77" s="3">
        <v>11.0</v>
      </c>
      <c r="G77" s="3">
        <v>0.0</v>
      </c>
      <c r="H77" s="3">
        <v>5.01999998092651</v>
      </c>
      <c r="I77" s="3">
        <v>1.28999996185303</v>
      </c>
      <c r="J77" s="3">
        <v>4.69000005722046</v>
      </c>
      <c r="K77" s="3">
        <v>0.0</v>
      </c>
      <c r="L77" s="3">
        <v>62.0</v>
      </c>
      <c r="M77" s="3">
        <v>19.0</v>
      </c>
      <c r="N77" s="3">
        <v>233.0</v>
      </c>
      <c r="O77" s="3">
        <v>1126.0</v>
      </c>
      <c r="P77" s="3">
        <v>2581.0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>
        <v>2.022484408E9</v>
      </c>
      <c r="B78" s="4">
        <v>42465.0</v>
      </c>
      <c r="C78" s="5">
        <f t="shared" si="1"/>
        <v>42465</v>
      </c>
      <c r="D78" s="3">
        <v>10805.0</v>
      </c>
      <c r="E78" s="3">
        <v>7.59000015258789</v>
      </c>
      <c r="F78" s="3">
        <v>7.59000015258789</v>
      </c>
      <c r="G78" s="3">
        <v>0.0</v>
      </c>
      <c r="H78" s="3">
        <v>0.720000028610229</v>
      </c>
      <c r="I78" s="3">
        <v>0.980000019073486</v>
      </c>
      <c r="J78" s="3">
        <v>5.8899998664856</v>
      </c>
      <c r="K78" s="3">
        <v>0.0</v>
      </c>
      <c r="L78" s="3">
        <v>36.0</v>
      </c>
      <c r="M78" s="3">
        <v>37.0</v>
      </c>
      <c r="N78" s="3">
        <v>298.0</v>
      </c>
      <c r="O78" s="3">
        <v>1069.0</v>
      </c>
      <c r="P78" s="3">
        <v>2735.0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>
        <v>2.022484408E9</v>
      </c>
      <c r="B79" s="4">
        <v>42466.0</v>
      </c>
      <c r="C79" s="5">
        <f t="shared" si="1"/>
        <v>42466</v>
      </c>
      <c r="D79" s="3">
        <v>15392.0</v>
      </c>
      <c r="E79" s="3">
        <v>10.9300003051758</v>
      </c>
      <c r="F79" s="3">
        <v>10.9300003051758</v>
      </c>
      <c r="G79" s="3">
        <v>0.0</v>
      </c>
      <c r="H79" s="3">
        <v>3.4300000667572</v>
      </c>
      <c r="I79" s="3">
        <v>1.75</v>
      </c>
      <c r="J79" s="3">
        <v>5.75</v>
      </c>
      <c r="K79" s="3">
        <v>0.0</v>
      </c>
      <c r="L79" s="3">
        <v>47.0</v>
      </c>
      <c r="M79" s="3">
        <v>42.0</v>
      </c>
      <c r="N79" s="3">
        <v>258.0</v>
      </c>
      <c r="O79" s="3">
        <v>1093.0</v>
      </c>
      <c r="P79" s="3">
        <v>2733.0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>
        <v>2.022484408E9</v>
      </c>
      <c r="B80" s="4">
        <v>42467.0</v>
      </c>
      <c r="C80" s="5">
        <f t="shared" si="1"/>
        <v>42467</v>
      </c>
      <c r="D80" s="3">
        <v>18247.0</v>
      </c>
      <c r="E80" s="3">
        <v>13.8299999237061</v>
      </c>
      <c r="F80" s="3">
        <v>13.8299999237061</v>
      </c>
      <c r="G80" s="3">
        <v>0.0</v>
      </c>
      <c r="H80" s="3">
        <v>7.1100001335144</v>
      </c>
      <c r="I80" s="3">
        <v>2.21000003814697</v>
      </c>
      <c r="J80" s="3">
        <v>4.51000022888184</v>
      </c>
      <c r="K80" s="3">
        <v>0.0</v>
      </c>
      <c r="L80" s="3">
        <v>72.0</v>
      </c>
      <c r="M80" s="3">
        <v>62.0</v>
      </c>
      <c r="N80" s="3">
        <v>252.0</v>
      </c>
      <c r="O80" s="3">
        <v>1054.0</v>
      </c>
      <c r="P80" s="3">
        <v>3021.0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">
        <v>2.022484408E9</v>
      </c>
      <c r="B81" s="4">
        <v>42468.0</v>
      </c>
      <c r="C81" s="5">
        <f t="shared" si="1"/>
        <v>42468</v>
      </c>
      <c r="D81" s="3">
        <v>13023.0</v>
      </c>
      <c r="E81" s="3">
        <v>9.26000022888184</v>
      </c>
      <c r="F81" s="3">
        <v>9.26000022888184</v>
      </c>
      <c r="G81" s="3">
        <v>0.0</v>
      </c>
      <c r="H81" s="3">
        <v>3.23000001907349</v>
      </c>
      <c r="I81" s="3">
        <v>0.560000002384186</v>
      </c>
      <c r="J81" s="3">
        <v>5.46999979019165</v>
      </c>
      <c r="K81" s="3">
        <v>0.0</v>
      </c>
      <c r="L81" s="3">
        <v>40.0</v>
      </c>
      <c r="M81" s="3">
        <v>12.0</v>
      </c>
      <c r="N81" s="3">
        <v>296.0</v>
      </c>
      <c r="O81" s="3">
        <v>1092.0</v>
      </c>
      <c r="P81" s="3">
        <v>2577.0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">
        <v>2.022484408E9</v>
      </c>
      <c r="B82" s="4">
        <v>42469.0</v>
      </c>
      <c r="C82" s="5">
        <f t="shared" si="1"/>
        <v>42469</v>
      </c>
      <c r="D82" s="3">
        <v>16267.0</v>
      </c>
      <c r="E82" s="3">
        <v>12.5900001525879</v>
      </c>
      <c r="F82" s="3">
        <v>12.5900001525879</v>
      </c>
      <c r="G82" s="3">
        <v>0.0</v>
      </c>
      <c r="H82" s="3">
        <v>5.75</v>
      </c>
      <c r="I82" s="3">
        <v>0.469999998807907</v>
      </c>
      <c r="J82" s="3">
        <v>6.36999988555908</v>
      </c>
      <c r="K82" s="3">
        <v>0.0</v>
      </c>
      <c r="L82" s="3">
        <v>44.0</v>
      </c>
      <c r="M82" s="3">
        <v>16.0</v>
      </c>
      <c r="N82" s="3">
        <v>302.0</v>
      </c>
      <c r="O82" s="3">
        <v>1078.0</v>
      </c>
      <c r="P82" s="3">
        <v>2811.0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">
        <v>2.022484408E9</v>
      </c>
      <c r="B83" s="4">
        <v>42470.0</v>
      </c>
      <c r="C83" s="5">
        <f t="shared" si="1"/>
        <v>42470</v>
      </c>
      <c r="D83" s="3">
        <v>10005.0</v>
      </c>
      <c r="E83" s="3">
        <v>7.01999998092651</v>
      </c>
      <c r="F83" s="3">
        <v>7.01999998092651</v>
      </c>
      <c r="G83" s="3">
        <v>0.0</v>
      </c>
      <c r="H83" s="3">
        <v>0.0799999982118607</v>
      </c>
      <c r="I83" s="3">
        <v>1.04999995231628</v>
      </c>
      <c r="J83" s="3">
        <v>5.90000009536743</v>
      </c>
      <c r="K83" s="3">
        <v>0.0</v>
      </c>
      <c r="L83" s="3">
        <v>1.0</v>
      </c>
      <c r="M83" s="3">
        <v>23.0</v>
      </c>
      <c r="N83" s="3">
        <v>339.0</v>
      </c>
      <c r="O83" s="3">
        <v>1077.0</v>
      </c>
      <c r="P83" s="3">
        <v>2458.0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">
        <v>2.022484408E9</v>
      </c>
      <c r="B84" s="4">
        <v>42471.0</v>
      </c>
      <c r="C84" s="5">
        <f t="shared" si="1"/>
        <v>42471</v>
      </c>
      <c r="D84" s="3">
        <v>10106.0</v>
      </c>
      <c r="E84" s="3">
        <v>7.09000015258789</v>
      </c>
      <c r="F84" s="3">
        <v>7.09000015258789</v>
      </c>
      <c r="G84" s="3">
        <v>0.0</v>
      </c>
      <c r="H84" s="3">
        <v>1.21000003814697</v>
      </c>
      <c r="I84" s="3">
        <v>0.560000002384186</v>
      </c>
      <c r="J84" s="3">
        <v>5.32999992370605</v>
      </c>
      <c r="K84" s="3">
        <v>0.0</v>
      </c>
      <c r="L84" s="3">
        <v>41.0</v>
      </c>
      <c r="M84" s="3">
        <v>16.0</v>
      </c>
      <c r="N84" s="3">
        <v>272.0</v>
      </c>
      <c r="O84" s="3">
        <v>1111.0</v>
      </c>
      <c r="P84" s="3">
        <v>2568.0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">
        <v>2.022484408E9</v>
      </c>
      <c r="B85" s="4">
        <v>42472.0</v>
      </c>
      <c r="C85" s="5">
        <f t="shared" si="1"/>
        <v>42472</v>
      </c>
      <c r="D85" s="3">
        <v>6717.0</v>
      </c>
      <c r="E85" s="3">
        <v>4.71999979019165</v>
      </c>
      <c r="F85" s="3">
        <v>4.71999979019165</v>
      </c>
      <c r="G85" s="3">
        <v>0.0</v>
      </c>
      <c r="H85" s="3">
        <v>3.23000001907349</v>
      </c>
      <c r="I85" s="3">
        <v>0.219999998807907</v>
      </c>
      <c r="J85" s="3">
        <v>1.26999998092651</v>
      </c>
      <c r="K85" s="3">
        <v>0.0</v>
      </c>
      <c r="L85" s="3">
        <v>41.0</v>
      </c>
      <c r="M85" s="3">
        <v>5.0</v>
      </c>
      <c r="N85" s="3">
        <v>67.0</v>
      </c>
      <c r="O85" s="3">
        <v>551.0</v>
      </c>
      <c r="P85" s="3">
        <v>1140.0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">
        <v>2.026352035E9</v>
      </c>
      <c r="B86" s="4">
        <v>42461.0</v>
      </c>
      <c r="C86" s="5">
        <f t="shared" si="1"/>
        <v>42461</v>
      </c>
      <c r="D86" s="3">
        <v>2605.0</v>
      </c>
      <c r="E86" s="3">
        <v>1.62000000476837</v>
      </c>
      <c r="F86" s="3">
        <v>1.62000000476837</v>
      </c>
      <c r="G86" s="3">
        <v>0.0</v>
      </c>
      <c r="H86" s="3">
        <v>0.0</v>
      </c>
      <c r="I86" s="3">
        <v>0.0</v>
      </c>
      <c r="J86" s="3">
        <v>1.62000000476837</v>
      </c>
      <c r="K86" s="3">
        <v>0.0</v>
      </c>
      <c r="L86" s="3">
        <v>0.0</v>
      </c>
      <c r="M86" s="3">
        <v>0.0</v>
      </c>
      <c r="N86" s="3">
        <v>166.0</v>
      </c>
      <c r="O86" s="3">
        <v>729.0</v>
      </c>
      <c r="P86" s="3">
        <v>1407.0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>
        <v>2.026352035E9</v>
      </c>
      <c r="B87" s="4">
        <v>42462.0</v>
      </c>
      <c r="C87" s="5">
        <f t="shared" si="1"/>
        <v>42462</v>
      </c>
      <c r="D87" s="3">
        <v>1229.0</v>
      </c>
      <c r="E87" s="3">
        <v>0.759999990463257</v>
      </c>
      <c r="F87" s="3">
        <v>0.759999990463257</v>
      </c>
      <c r="G87" s="3">
        <v>0.0</v>
      </c>
      <c r="H87" s="3">
        <v>0.0</v>
      </c>
      <c r="I87" s="3">
        <v>0.0</v>
      </c>
      <c r="J87" s="3">
        <v>0.759999990463257</v>
      </c>
      <c r="K87" s="3">
        <v>0.0</v>
      </c>
      <c r="L87" s="3">
        <v>0.0</v>
      </c>
      <c r="M87" s="3">
        <v>0.0</v>
      </c>
      <c r="N87" s="3">
        <v>69.0</v>
      </c>
      <c r="O87" s="3">
        <v>795.0</v>
      </c>
      <c r="P87" s="3">
        <v>1237.0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">
        <v>2.026352035E9</v>
      </c>
      <c r="B88" s="4">
        <v>42463.0</v>
      </c>
      <c r="C88" s="5">
        <f t="shared" si="1"/>
        <v>42463</v>
      </c>
      <c r="D88" s="3">
        <v>2308.0</v>
      </c>
      <c r="E88" s="3">
        <v>1.42999994754791</v>
      </c>
      <c r="F88" s="3">
        <v>1.42999994754791</v>
      </c>
      <c r="G88" s="3">
        <v>0.0</v>
      </c>
      <c r="H88" s="3">
        <v>0.0</v>
      </c>
      <c r="I88" s="3">
        <v>0.0</v>
      </c>
      <c r="J88" s="3">
        <v>1.42999994754791</v>
      </c>
      <c r="K88" s="3">
        <v>0.0</v>
      </c>
      <c r="L88" s="3">
        <v>0.0</v>
      </c>
      <c r="M88" s="3">
        <v>0.0</v>
      </c>
      <c r="N88" s="3">
        <v>115.0</v>
      </c>
      <c r="O88" s="3">
        <v>720.0</v>
      </c>
      <c r="P88" s="3">
        <v>1330.0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">
        <v>2.026352035E9</v>
      </c>
      <c r="B89" s="4">
        <v>42464.0</v>
      </c>
      <c r="C89" s="5">
        <f t="shared" si="1"/>
        <v>42464</v>
      </c>
      <c r="D89" s="3">
        <v>6679.0</v>
      </c>
      <c r="E89" s="3">
        <v>4.1399998664856</v>
      </c>
      <c r="F89" s="3">
        <v>4.1399998664856</v>
      </c>
      <c r="G89" s="3">
        <v>0.0</v>
      </c>
      <c r="H89" s="3">
        <v>0.0</v>
      </c>
      <c r="I89" s="3">
        <v>0.0</v>
      </c>
      <c r="J89" s="3">
        <v>4.1399998664856</v>
      </c>
      <c r="K89" s="3">
        <v>0.0</v>
      </c>
      <c r="L89" s="3">
        <v>0.0</v>
      </c>
      <c r="M89" s="3">
        <v>0.0</v>
      </c>
      <c r="N89" s="3">
        <v>263.0</v>
      </c>
      <c r="O89" s="3">
        <v>644.0</v>
      </c>
      <c r="P89" s="3">
        <v>1583.0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">
        <v>2.026352035E9</v>
      </c>
      <c r="B90" s="4">
        <v>42465.0</v>
      </c>
      <c r="C90" s="5">
        <f t="shared" si="1"/>
        <v>42465</v>
      </c>
      <c r="D90" s="3">
        <v>5645.0</v>
      </c>
      <c r="E90" s="3">
        <v>3.5</v>
      </c>
      <c r="F90" s="3">
        <v>3.5</v>
      </c>
      <c r="G90" s="3">
        <v>0.0</v>
      </c>
      <c r="H90" s="3">
        <v>0.0</v>
      </c>
      <c r="I90" s="3">
        <v>0.0</v>
      </c>
      <c r="J90" s="3">
        <v>3.5</v>
      </c>
      <c r="K90" s="3">
        <v>0.0</v>
      </c>
      <c r="L90" s="3">
        <v>0.0</v>
      </c>
      <c r="M90" s="3">
        <v>0.0</v>
      </c>
      <c r="N90" s="3">
        <v>248.0</v>
      </c>
      <c r="O90" s="3">
        <v>621.0</v>
      </c>
      <c r="P90" s="3">
        <v>1538.0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">
        <v>2.026352035E9</v>
      </c>
      <c r="B91" s="4">
        <v>42466.0</v>
      </c>
      <c r="C91" s="5">
        <f t="shared" si="1"/>
        <v>42466</v>
      </c>
      <c r="D91" s="3">
        <v>3180.0</v>
      </c>
      <c r="E91" s="3">
        <v>1.97000002861023</v>
      </c>
      <c r="F91" s="3">
        <v>1.97000002861023</v>
      </c>
      <c r="G91" s="3">
        <v>0.0</v>
      </c>
      <c r="H91" s="3">
        <v>0.0</v>
      </c>
      <c r="I91" s="3">
        <v>0.0</v>
      </c>
      <c r="J91" s="3">
        <v>1.97000002861023</v>
      </c>
      <c r="K91" s="3">
        <v>0.0</v>
      </c>
      <c r="L91" s="3">
        <v>0.0</v>
      </c>
      <c r="M91" s="3">
        <v>0.0</v>
      </c>
      <c r="N91" s="3">
        <v>185.0</v>
      </c>
      <c r="O91" s="3">
        <v>738.0</v>
      </c>
      <c r="P91" s="3">
        <v>1421.0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">
        <v>2.026352035E9</v>
      </c>
      <c r="B92" s="4">
        <v>42467.0</v>
      </c>
      <c r="C92" s="5">
        <f t="shared" si="1"/>
        <v>42467</v>
      </c>
      <c r="D92" s="3">
        <v>2767.0</v>
      </c>
      <c r="E92" s="3">
        <v>1.72000002861023</v>
      </c>
      <c r="F92" s="3">
        <v>1.72000002861023</v>
      </c>
      <c r="G92" s="3">
        <v>0.0</v>
      </c>
      <c r="H92" s="3">
        <v>0.0</v>
      </c>
      <c r="I92" s="3">
        <v>0.0</v>
      </c>
      <c r="J92" s="3">
        <v>1.72000002861023</v>
      </c>
      <c r="K92" s="3">
        <v>0.0</v>
      </c>
      <c r="L92" s="3">
        <v>0.0</v>
      </c>
      <c r="M92" s="3">
        <v>0.0</v>
      </c>
      <c r="N92" s="3">
        <v>170.0</v>
      </c>
      <c r="O92" s="3">
        <v>673.0</v>
      </c>
      <c r="P92" s="3">
        <v>1392.0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">
        <v>2.026352035E9</v>
      </c>
      <c r="B93" s="4">
        <v>42468.0</v>
      </c>
      <c r="C93" s="5">
        <f t="shared" si="1"/>
        <v>42468</v>
      </c>
      <c r="D93" s="3">
        <v>3762.0</v>
      </c>
      <c r="E93" s="3">
        <v>2.32999992370605</v>
      </c>
      <c r="F93" s="3">
        <v>2.32999992370605</v>
      </c>
      <c r="G93" s="3">
        <v>0.0</v>
      </c>
      <c r="H93" s="3">
        <v>0.0</v>
      </c>
      <c r="I93" s="3">
        <v>0.0</v>
      </c>
      <c r="J93" s="3">
        <v>2.32999992370605</v>
      </c>
      <c r="K93" s="3">
        <v>0.0</v>
      </c>
      <c r="L93" s="3">
        <v>0.0</v>
      </c>
      <c r="M93" s="3">
        <v>0.0</v>
      </c>
      <c r="N93" s="3">
        <v>173.0</v>
      </c>
      <c r="O93" s="3">
        <v>719.0</v>
      </c>
      <c r="P93" s="3">
        <v>1425.0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">
        <v>2.026352035E9</v>
      </c>
      <c r="B94" s="4">
        <v>42469.0</v>
      </c>
      <c r="C94" s="5">
        <f t="shared" si="1"/>
        <v>42469</v>
      </c>
      <c r="D94" s="3">
        <v>3098.0</v>
      </c>
      <c r="E94" s="3">
        <v>1.91999995708466</v>
      </c>
      <c r="F94" s="3">
        <v>1.91999995708466</v>
      </c>
      <c r="G94" s="3">
        <v>0.0</v>
      </c>
      <c r="H94" s="3">
        <v>0.0</v>
      </c>
      <c r="I94" s="3">
        <v>0.0</v>
      </c>
      <c r="J94" s="3">
        <v>1.91999995708466</v>
      </c>
      <c r="K94" s="3">
        <v>0.0</v>
      </c>
      <c r="L94" s="3">
        <v>0.0</v>
      </c>
      <c r="M94" s="3">
        <v>0.0</v>
      </c>
      <c r="N94" s="3">
        <v>185.0</v>
      </c>
      <c r="O94" s="3">
        <v>700.0</v>
      </c>
      <c r="P94" s="3">
        <v>1413.0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">
        <v>2.026352035E9</v>
      </c>
      <c r="B95" s="4">
        <v>42470.0</v>
      </c>
      <c r="C95" s="5">
        <f t="shared" si="1"/>
        <v>42470</v>
      </c>
      <c r="D95" s="3">
        <v>5142.0</v>
      </c>
      <c r="E95" s="3">
        <v>3.19000005722046</v>
      </c>
      <c r="F95" s="3">
        <v>3.19000005722046</v>
      </c>
      <c r="G95" s="3">
        <v>0.0</v>
      </c>
      <c r="H95" s="3">
        <v>0.0</v>
      </c>
      <c r="I95" s="3">
        <v>0.0</v>
      </c>
      <c r="J95" s="3">
        <v>3.19000005722046</v>
      </c>
      <c r="K95" s="3">
        <v>0.0</v>
      </c>
      <c r="L95" s="3">
        <v>0.0</v>
      </c>
      <c r="M95" s="3">
        <v>0.0</v>
      </c>
      <c r="N95" s="3">
        <v>230.0</v>
      </c>
      <c r="O95" s="3">
        <v>654.0</v>
      </c>
      <c r="P95" s="3">
        <v>1515.0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">
        <v>2.026352035E9</v>
      </c>
      <c r="B96" s="4">
        <v>42471.0</v>
      </c>
      <c r="C96" s="5">
        <f t="shared" si="1"/>
        <v>42471</v>
      </c>
      <c r="D96" s="3">
        <v>3279.0</v>
      </c>
      <c r="E96" s="3">
        <v>2.02999997138977</v>
      </c>
      <c r="F96" s="3">
        <v>2.02999997138977</v>
      </c>
      <c r="G96" s="3">
        <v>0.0</v>
      </c>
      <c r="H96" s="3">
        <v>0.0</v>
      </c>
      <c r="I96" s="3">
        <v>0.0</v>
      </c>
      <c r="J96" s="3">
        <v>2.02999997138977</v>
      </c>
      <c r="K96" s="3">
        <v>0.0</v>
      </c>
      <c r="L96" s="3">
        <v>0.0</v>
      </c>
      <c r="M96" s="3">
        <v>0.0</v>
      </c>
      <c r="N96" s="3">
        <v>164.0</v>
      </c>
      <c r="O96" s="3">
        <v>694.0</v>
      </c>
      <c r="P96" s="3">
        <v>1405.0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">
        <v>2.026352035E9</v>
      </c>
      <c r="B97" s="4">
        <v>42472.0</v>
      </c>
      <c r="C97" s="5">
        <f t="shared" si="1"/>
        <v>42472</v>
      </c>
      <c r="D97" s="3">
        <v>1019.0</v>
      </c>
      <c r="E97" s="3">
        <v>0.629999995231628</v>
      </c>
      <c r="F97" s="3">
        <v>0.629999995231628</v>
      </c>
      <c r="G97" s="3">
        <v>0.0</v>
      </c>
      <c r="H97" s="3">
        <v>0.0</v>
      </c>
      <c r="I97" s="3">
        <v>0.0</v>
      </c>
      <c r="J97" s="3">
        <v>0.629999995231628</v>
      </c>
      <c r="K97" s="3">
        <v>0.0</v>
      </c>
      <c r="L97" s="3">
        <v>0.0</v>
      </c>
      <c r="M97" s="3">
        <v>0.0</v>
      </c>
      <c r="N97" s="3">
        <v>64.0</v>
      </c>
      <c r="O97" s="3">
        <v>223.0</v>
      </c>
      <c r="P97" s="3">
        <v>600.0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">
        <v>2.320127002E9</v>
      </c>
      <c r="B98" s="4">
        <v>42461.0</v>
      </c>
      <c r="C98" s="5">
        <f t="shared" si="1"/>
        <v>42461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1440.0</v>
      </c>
      <c r="P98" s="3">
        <v>1324.0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">
        <v>2.320127002E9</v>
      </c>
      <c r="B99" s="4">
        <v>42462.0</v>
      </c>
      <c r="C99" s="5">
        <f t="shared" si="1"/>
        <v>42462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1440.0</v>
      </c>
      <c r="P99" s="3">
        <v>1324.0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">
        <v>2.320127002E9</v>
      </c>
      <c r="B100" s="4">
        <v>42463.0</v>
      </c>
      <c r="C100" s="5">
        <f t="shared" si="1"/>
        <v>42463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1440.0</v>
      </c>
      <c r="P100" s="3">
        <v>1324.0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>
        <v>2.320127002E9</v>
      </c>
      <c r="B101" s="4">
        <v>42464.0</v>
      </c>
      <c r="C101" s="5">
        <f t="shared" si="1"/>
        <v>42464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1440.0</v>
      </c>
      <c r="P101" s="3">
        <v>1324.0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">
        <v>2.320127002E9</v>
      </c>
      <c r="B102" s="4">
        <v>42465.0</v>
      </c>
      <c r="C102" s="5">
        <f t="shared" si="1"/>
        <v>42465</v>
      </c>
      <c r="D102" s="3">
        <v>4931.0</v>
      </c>
      <c r="E102" s="3">
        <v>3.3199999332428</v>
      </c>
      <c r="F102" s="3">
        <v>3.3199999332428</v>
      </c>
      <c r="G102" s="3">
        <v>0.0</v>
      </c>
      <c r="H102" s="3">
        <v>0.0</v>
      </c>
      <c r="I102" s="3">
        <v>0.0</v>
      </c>
      <c r="J102" s="3">
        <v>3.3199999332428</v>
      </c>
      <c r="K102" s="3">
        <v>0.0</v>
      </c>
      <c r="L102" s="3">
        <v>0.0</v>
      </c>
      <c r="M102" s="3">
        <v>0.0</v>
      </c>
      <c r="N102" s="3">
        <v>175.0</v>
      </c>
      <c r="O102" s="3">
        <v>1265.0</v>
      </c>
      <c r="P102" s="3">
        <v>1708.0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">
        <v>2.320127002E9</v>
      </c>
      <c r="B103" s="4">
        <v>42466.0</v>
      </c>
      <c r="C103" s="5">
        <f t="shared" si="1"/>
        <v>42466</v>
      </c>
      <c r="D103" s="3">
        <v>6999.0</v>
      </c>
      <c r="E103" s="3">
        <v>4.71999979019165</v>
      </c>
      <c r="F103" s="3">
        <v>4.71999979019165</v>
      </c>
      <c r="G103" s="3">
        <v>0.0</v>
      </c>
      <c r="H103" s="3">
        <v>0.0</v>
      </c>
      <c r="I103" s="3">
        <v>0.0</v>
      </c>
      <c r="J103" s="3">
        <v>4.71999979019165</v>
      </c>
      <c r="K103" s="3">
        <v>0.0</v>
      </c>
      <c r="L103" s="3">
        <v>0.0</v>
      </c>
      <c r="M103" s="3">
        <v>0.0</v>
      </c>
      <c r="N103" s="3">
        <v>320.0</v>
      </c>
      <c r="O103" s="3">
        <v>1120.0</v>
      </c>
      <c r="P103" s="3">
        <v>1950.0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">
        <v>2.320127002E9</v>
      </c>
      <c r="B104" s="4">
        <v>42467.0</v>
      </c>
      <c r="C104" s="5">
        <f t="shared" si="1"/>
        <v>42467</v>
      </c>
      <c r="D104" s="3">
        <v>1846.0</v>
      </c>
      <c r="E104" s="3">
        <v>1.24000000953674</v>
      </c>
      <c r="F104" s="3">
        <v>1.24000000953674</v>
      </c>
      <c r="G104" s="3">
        <v>0.0</v>
      </c>
      <c r="H104" s="3">
        <v>0.0</v>
      </c>
      <c r="I104" s="3">
        <v>0.0</v>
      </c>
      <c r="J104" s="3">
        <v>1.24000000953674</v>
      </c>
      <c r="K104" s="3">
        <v>0.0</v>
      </c>
      <c r="L104" s="3">
        <v>0.0</v>
      </c>
      <c r="M104" s="3">
        <v>0.0</v>
      </c>
      <c r="N104" s="3">
        <v>93.0</v>
      </c>
      <c r="O104" s="3">
        <v>1347.0</v>
      </c>
      <c r="P104" s="3">
        <v>1508.0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">
        <v>2.320127002E9</v>
      </c>
      <c r="B105" s="4">
        <v>42468.0</v>
      </c>
      <c r="C105" s="5">
        <f t="shared" si="1"/>
        <v>42468</v>
      </c>
      <c r="D105" s="3">
        <v>3417.0</v>
      </c>
      <c r="E105" s="3">
        <v>2.29999995231628</v>
      </c>
      <c r="F105" s="3">
        <v>2.29999995231628</v>
      </c>
      <c r="G105" s="3">
        <v>0.0</v>
      </c>
      <c r="H105" s="3">
        <v>0.0</v>
      </c>
      <c r="I105" s="3">
        <v>0.0</v>
      </c>
      <c r="J105" s="3">
        <v>2.29999995231628</v>
      </c>
      <c r="K105" s="3">
        <v>0.0</v>
      </c>
      <c r="L105" s="3">
        <v>0.0</v>
      </c>
      <c r="M105" s="3">
        <v>0.0</v>
      </c>
      <c r="N105" s="3">
        <v>153.0</v>
      </c>
      <c r="O105" s="3">
        <v>1287.0</v>
      </c>
      <c r="P105" s="3">
        <v>1625.0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">
        <v>2.320127002E9</v>
      </c>
      <c r="B106" s="4">
        <v>42469.0</v>
      </c>
      <c r="C106" s="5">
        <f t="shared" si="1"/>
        <v>42469</v>
      </c>
      <c r="D106" s="3">
        <v>4863.0</v>
      </c>
      <c r="E106" s="3">
        <v>3.27999997138977</v>
      </c>
      <c r="F106" s="3">
        <v>3.27999997138977</v>
      </c>
      <c r="G106" s="3">
        <v>0.0</v>
      </c>
      <c r="H106" s="3">
        <v>0.0599999986588955</v>
      </c>
      <c r="I106" s="3">
        <v>0.419999986886978</v>
      </c>
      <c r="J106" s="3">
        <v>2.79999995231628</v>
      </c>
      <c r="K106" s="3">
        <v>0.0</v>
      </c>
      <c r="L106" s="3">
        <v>1.0</v>
      </c>
      <c r="M106" s="3">
        <v>11.0</v>
      </c>
      <c r="N106" s="3">
        <v>208.0</v>
      </c>
      <c r="O106" s="3">
        <v>1220.0</v>
      </c>
      <c r="P106" s="3">
        <v>1772.0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">
        <v>2.320127002E9</v>
      </c>
      <c r="B107" s="4">
        <v>42470.0</v>
      </c>
      <c r="C107" s="5">
        <f t="shared" si="1"/>
        <v>42470</v>
      </c>
      <c r="D107" s="3">
        <v>2277.0</v>
      </c>
      <c r="E107" s="3">
        <v>1.52999997138977</v>
      </c>
      <c r="F107" s="3">
        <v>1.52999997138977</v>
      </c>
      <c r="G107" s="3">
        <v>0.0</v>
      </c>
      <c r="H107" s="3">
        <v>0.0</v>
      </c>
      <c r="I107" s="3">
        <v>0.0</v>
      </c>
      <c r="J107" s="3">
        <v>1.52999997138977</v>
      </c>
      <c r="K107" s="3">
        <v>0.0</v>
      </c>
      <c r="L107" s="3">
        <v>0.0</v>
      </c>
      <c r="M107" s="3">
        <v>0.0</v>
      </c>
      <c r="N107" s="3">
        <v>103.0</v>
      </c>
      <c r="O107" s="3">
        <v>1337.0</v>
      </c>
      <c r="P107" s="3">
        <v>1530.0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">
        <v>2.320127002E9</v>
      </c>
      <c r="B108" s="4">
        <v>42471.0</v>
      </c>
      <c r="C108" s="5">
        <f t="shared" si="1"/>
        <v>42471</v>
      </c>
      <c r="D108" s="3">
        <v>11230.0</v>
      </c>
      <c r="E108" s="3">
        <v>7.67000007629395</v>
      </c>
      <c r="F108" s="3">
        <v>7.67000007629395</v>
      </c>
      <c r="G108" s="3">
        <v>0.0</v>
      </c>
      <c r="H108" s="3">
        <v>0.889999985694885</v>
      </c>
      <c r="I108" s="3">
        <v>0.119999997317791</v>
      </c>
      <c r="J108" s="3">
        <v>6.65999984741211</v>
      </c>
      <c r="K108" s="3">
        <v>0.0</v>
      </c>
      <c r="L108" s="3">
        <v>10.0</v>
      </c>
      <c r="M108" s="3">
        <v>2.0</v>
      </c>
      <c r="N108" s="3">
        <v>390.0</v>
      </c>
      <c r="O108" s="3">
        <v>1038.0</v>
      </c>
      <c r="P108" s="3">
        <v>2206.0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">
        <v>2.320127002E9</v>
      </c>
      <c r="B109" s="4">
        <v>42472.0</v>
      </c>
      <c r="C109" s="5">
        <f t="shared" si="1"/>
        <v>42472</v>
      </c>
      <c r="D109" s="3">
        <v>2098.0</v>
      </c>
      <c r="E109" s="3">
        <v>1.4099999666214</v>
      </c>
      <c r="F109" s="3">
        <v>1.4099999666214</v>
      </c>
      <c r="G109" s="3">
        <v>0.0</v>
      </c>
      <c r="H109" s="3">
        <v>0.0</v>
      </c>
      <c r="I109" s="3">
        <v>0.0</v>
      </c>
      <c r="J109" s="3">
        <v>1.4099999666214</v>
      </c>
      <c r="K109" s="3">
        <v>0.0</v>
      </c>
      <c r="L109" s="3">
        <v>0.0</v>
      </c>
      <c r="M109" s="3">
        <v>0.0</v>
      </c>
      <c r="N109" s="3">
        <v>69.0</v>
      </c>
      <c r="O109" s="3">
        <v>617.0</v>
      </c>
      <c r="P109" s="3">
        <v>790.0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">
        <v>2.347167796E9</v>
      </c>
      <c r="B110" s="4">
        <v>42458.0</v>
      </c>
      <c r="C110" s="5">
        <f t="shared" si="1"/>
        <v>42458</v>
      </c>
      <c r="D110" s="3">
        <v>10272.0</v>
      </c>
      <c r="E110" s="3">
        <v>6.78999996185303</v>
      </c>
      <c r="F110" s="3">
        <v>6.78999996185303</v>
      </c>
      <c r="G110" s="3">
        <v>0.0</v>
      </c>
      <c r="H110" s="3">
        <v>0.159999996423721</v>
      </c>
      <c r="I110" s="3">
        <v>3.11999988555908</v>
      </c>
      <c r="J110" s="3">
        <v>3.5</v>
      </c>
      <c r="K110" s="3">
        <v>0.0</v>
      </c>
      <c r="L110" s="3">
        <v>2.0</v>
      </c>
      <c r="M110" s="3">
        <v>58.0</v>
      </c>
      <c r="N110" s="3">
        <v>208.0</v>
      </c>
      <c r="O110" s="3">
        <v>700.0</v>
      </c>
      <c r="P110" s="3">
        <v>2041.0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">
        <v>2.347167796E9</v>
      </c>
      <c r="B111" s="4">
        <v>42459.0</v>
      </c>
      <c r="C111" s="5">
        <f t="shared" si="1"/>
        <v>42459</v>
      </c>
      <c r="D111" s="3">
        <v>10533.0</v>
      </c>
      <c r="E111" s="3">
        <v>7.09999990463257</v>
      </c>
      <c r="F111" s="3">
        <v>7.09999990463257</v>
      </c>
      <c r="G111" s="3">
        <v>0.0</v>
      </c>
      <c r="H111" s="3">
        <v>1.76999998092651</v>
      </c>
      <c r="I111" s="3">
        <v>2.05999994277954</v>
      </c>
      <c r="J111" s="3">
        <v>3.26999998092651</v>
      </c>
      <c r="K111" s="3">
        <v>0.0</v>
      </c>
      <c r="L111" s="3">
        <v>21.0</v>
      </c>
      <c r="M111" s="3">
        <v>35.0</v>
      </c>
      <c r="N111" s="3">
        <v>255.0</v>
      </c>
      <c r="O111" s="3">
        <v>615.0</v>
      </c>
      <c r="P111" s="3">
        <v>2187.0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">
        <v>2.347167796E9</v>
      </c>
      <c r="B112" s="4">
        <v>42460.0</v>
      </c>
      <c r="C112" s="5">
        <f t="shared" si="1"/>
        <v>42460</v>
      </c>
      <c r="D112" s="3">
        <v>6760.0</v>
      </c>
      <c r="E112" s="3">
        <v>4.46999979019165</v>
      </c>
      <c r="F112" s="3">
        <v>4.46999979019165</v>
      </c>
      <c r="G112" s="3">
        <v>0.0</v>
      </c>
      <c r="H112" s="3">
        <v>0.0</v>
      </c>
      <c r="I112" s="3">
        <v>0.0</v>
      </c>
      <c r="J112" s="3">
        <v>4.46999979019165</v>
      </c>
      <c r="K112" s="3">
        <v>0.0</v>
      </c>
      <c r="L112" s="3">
        <v>0.0</v>
      </c>
      <c r="M112" s="3">
        <v>0.0</v>
      </c>
      <c r="N112" s="3">
        <v>250.0</v>
      </c>
      <c r="O112" s="3">
        <v>613.0</v>
      </c>
      <c r="P112" s="3">
        <v>1929.0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">
        <v>2.347167796E9</v>
      </c>
      <c r="B113" s="4">
        <v>42461.0</v>
      </c>
      <c r="C113" s="5">
        <f t="shared" si="1"/>
        <v>42461</v>
      </c>
      <c r="D113" s="3">
        <v>8328.0</v>
      </c>
      <c r="E113" s="3">
        <v>5.51000022888184</v>
      </c>
      <c r="F113" s="3">
        <v>5.51000022888184</v>
      </c>
      <c r="G113" s="3">
        <v>0.0</v>
      </c>
      <c r="H113" s="3">
        <v>0.0</v>
      </c>
      <c r="I113" s="3">
        <v>2.0</v>
      </c>
      <c r="J113" s="3">
        <v>3.5</v>
      </c>
      <c r="K113" s="3">
        <v>0.0</v>
      </c>
      <c r="L113" s="3">
        <v>0.0</v>
      </c>
      <c r="M113" s="3">
        <v>33.0</v>
      </c>
      <c r="N113" s="3">
        <v>212.0</v>
      </c>
      <c r="O113" s="3">
        <v>804.0</v>
      </c>
      <c r="P113" s="3">
        <v>1935.0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">
        <v>2.347167796E9</v>
      </c>
      <c r="B114" s="4">
        <v>42462.0</v>
      </c>
      <c r="C114" s="5">
        <f t="shared" si="1"/>
        <v>42462</v>
      </c>
      <c r="D114" s="3">
        <v>15459.0</v>
      </c>
      <c r="E114" s="3">
        <v>10.2200002670288</v>
      </c>
      <c r="F114" s="3">
        <v>10.2200002670288</v>
      </c>
      <c r="G114" s="3">
        <v>0.0</v>
      </c>
      <c r="H114" s="3">
        <v>3.58999991416931</v>
      </c>
      <c r="I114" s="3">
        <v>0.810000002384186</v>
      </c>
      <c r="J114" s="3">
        <v>5.82000017166138</v>
      </c>
      <c r="K114" s="3">
        <v>0.0</v>
      </c>
      <c r="L114" s="3">
        <v>51.0</v>
      </c>
      <c r="M114" s="3">
        <v>16.0</v>
      </c>
      <c r="N114" s="3">
        <v>327.0</v>
      </c>
      <c r="O114" s="3">
        <v>583.0</v>
      </c>
      <c r="P114" s="3">
        <v>2438.0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">
        <v>2.347167796E9</v>
      </c>
      <c r="B115" s="4">
        <v>42463.0</v>
      </c>
      <c r="C115" s="5">
        <f t="shared" si="1"/>
        <v>42463</v>
      </c>
      <c r="D115" s="3">
        <v>7485.0</v>
      </c>
      <c r="E115" s="3">
        <v>4.94999980926514</v>
      </c>
      <c r="F115" s="3">
        <v>4.94999980926514</v>
      </c>
      <c r="G115" s="3">
        <v>0.0</v>
      </c>
      <c r="H115" s="3">
        <v>0.0</v>
      </c>
      <c r="I115" s="3">
        <v>0.0</v>
      </c>
      <c r="J115" s="3">
        <v>4.94999980926514</v>
      </c>
      <c r="K115" s="3">
        <v>0.0</v>
      </c>
      <c r="L115" s="3">
        <v>0.0</v>
      </c>
      <c r="M115" s="3">
        <v>0.0</v>
      </c>
      <c r="N115" s="3">
        <v>324.0</v>
      </c>
      <c r="O115" s="3">
        <v>491.0</v>
      </c>
      <c r="P115" s="3">
        <v>2035.0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">
        <v>2.347167796E9</v>
      </c>
      <c r="B116" s="4">
        <v>42464.0</v>
      </c>
      <c r="C116" s="5">
        <f t="shared" si="1"/>
        <v>42464</v>
      </c>
      <c r="D116" s="3">
        <v>10254.0</v>
      </c>
      <c r="E116" s="3">
        <v>6.80000019073486</v>
      </c>
      <c r="F116" s="3">
        <v>6.80000019073486</v>
      </c>
      <c r="G116" s="3">
        <v>0.0</v>
      </c>
      <c r="H116" s="3">
        <v>1.41999995708466</v>
      </c>
      <c r="I116" s="3">
        <v>1.23000001907349</v>
      </c>
      <c r="J116" s="3">
        <v>4.15999984741211</v>
      </c>
      <c r="K116" s="3">
        <v>0.0</v>
      </c>
      <c r="L116" s="3">
        <v>21.0</v>
      </c>
      <c r="M116" s="3">
        <v>25.0</v>
      </c>
      <c r="N116" s="3">
        <v>231.0</v>
      </c>
      <c r="O116" s="3">
        <v>638.0</v>
      </c>
      <c r="P116" s="3">
        <v>2099.0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">
        <v>2.347167796E9</v>
      </c>
      <c r="B117" s="4">
        <v>42465.0</v>
      </c>
      <c r="C117" s="5">
        <f t="shared" si="1"/>
        <v>42465</v>
      </c>
      <c r="D117" s="3">
        <v>10114.0</v>
      </c>
      <c r="E117" s="3">
        <v>6.82000017166138</v>
      </c>
      <c r="F117" s="3">
        <v>6.82000017166138</v>
      </c>
      <c r="G117" s="3">
        <v>0.0</v>
      </c>
      <c r="H117" s="3">
        <v>1.63999998569489</v>
      </c>
      <c r="I117" s="3">
        <v>0.479999989271164</v>
      </c>
      <c r="J117" s="3">
        <v>4.67999982833862</v>
      </c>
      <c r="K117" s="3">
        <v>0.0</v>
      </c>
      <c r="L117" s="3">
        <v>18.0</v>
      </c>
      <c r="M117" s="3">
        <v>9.0</v>
      </c>
      <c r="N117" s="3">
        <v>269.0</v>
      </c>
      <c r="O117" s="3">
        <v>696.0</v>
      </c>
      <c r="P117" s="3">
        <v>2096.0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">
        <v>2.347167796E9</v>
      </c>
      <c r="B118" s="4">
        <v>42466.0</v>
      </c>
      <c r="C118" s="5">
        <f t="shared" si="1"/>
        <v>42466</v>
      </c>
      <c r="D118" s="3">
        <v>11107.0</v>
      </c>
      <c r="E118" s="3">
        <v>7.34000015258789</v>
      </c>
      <c r="F118" s="3">
        <v>7.34000015258789</v>
      </c>
      <c r="G118" s="3">
        <v>0.0</v>
      </c>
      <c r="H118" s="3">
        <v>0.899999976158142</v>
      </c>
      <c r="I118" s="3">
        <v>2.75999999046326</v>
      </c>
      <c r="J118" s="3">
        <v>3.6800000667572</v>
      </c>
      <c r="K118" s="3">
        <v>0.0</v>
      </c>
      <c r="L118" s="3">
        <v>14.0</v>
      </c>
      <c r="M118" s="3">
        <v>46.0</v>
      </c>
      <c r="N118" s="3">
        <v>196.0</v>
      </c>
      <c r="O118" s="3">
        <v>759.0</v>
      </c>
      <c r="P118" s="3">
        <v>2058.0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">
        <v>2.347167796E9</v>
      </c>
      <c r="B119" s="4">
        <v>42467.0</v>
      </c>
      <c r="C119" s="5">
        <f t="shared" si="1"/>
        <v>42467</v>
      </c>
      <c r="D119" s="3">
        <v>10320.0</v>
      </c>
      <c r="E119" s="3">
        <v>6.84999990463257</v>
      </c>
      <c r="F119" s="3">
        <v>6.84999990463257</v>
      </c>
      <c r="G119" s="3">
        <v>0.0</v>
      </c>
      <c r="H119" s="3">
        <v>0.680000007152557</v>
      </c>
      <c r="I119" s="3">
        <v>1.23000001907349</v>
      </c>
      <c r="J119" s="3">
        <v>4.94000005722046</v>
      </c>
      <c r="K119" s="3">
        <v>0.0</v>
      </c>
      <c r="L119" s="3">
        <v>15.0</v>
      </c>
      <c r="M119" s="3">
        <v>32.0</v>
      </c>
      <c r="N119" s="3">
        <v>315.0</v>
      </c>
      <c r="O119" s="3">
        <v>1002.0</v>
      </c>
      <c r="P119" s="3">
        <v>2338.0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">
        <v>2.347167796E9</v>
      </c>
      <c r="B120" s="4">
        <v>42468.0</v>
      </c>
      <c r="C120" s="5">
        <f t="shared" si="1"/>
        <v>42468</v>
      </c>
      <c r="D120" s="3">
        <v>10209.0</v>
      </c>
      <c r="E120" s="3">
        <v>6.75</v>
      </c>
      <c r="F120" s="3">
        <v>6.75</v>
      </c>
      <c r="G120" s="3">
        <v>0.0</v>
      </c>
      <c r="H120" s="3">
        <v>0.159999996423721</v>
      </c>
      <c r="I120" s="3">
        <v>0.349999994039536</v>
      </c>
      <c r="J120" s="3">
        <v>6.23000001907349</v>
      </c>
      <c r="K120" s="3">
        <v>0.0</v>
      </c>
      <c r="L120" s="3">
        <v>2.0</v>
      </c>
      <c r="M120" s="3">
        <v>6.0</v>
      </c>
      <c r="N120" s="3">
        <v>316.0</v>
      </c>
      <c r="O120" s="3">
        <v>711.0</v>
      </c>
      <c r="P120" s="3">
        <v>2104.0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">
        <v>2.347167796E9</v>
      </c>
      <c r="B121" s="4">
        <v>42469.0</v>
      </c>
      <c r="C121" s="5">
        <f t="shared" si="1"/>
        <v>42469</v>
      </c>
      <c r="D121" s="3">
        <v>16081.0</v>
      </c>
      <c r="E121" s="3">
        <v>10.6300001144409</v>
      </c>
      <c r="F121" s="3">
        <v>10.6300001144409</v>
      </c>
      <c r="G121" s="3">
        <v>0.0</v>
      </c>
      <c r="H121" s="3">
        <v>1.25</v>
      </c>
      <c r="I121" s="3">
        <v>1.82000005245209</v>
      </c>
      <c r="J121" s="3">
        <v>7.55999994277954</v>
      </c>
      <c r="K121" s="3">
        <v>0.0</v>
      </c>
      <c r="L121" s="3">
        <v>16.0</v>
      </c>
      <c r="M121" s="3">
        <v>32.0</v>
      </c>
      <c r="N121" s="3">
        <v>401.0</v>
      </c>
      <c r="O121" s="3">
        <v>970.0</v>
      </c>
      <c r="P121" s="3">
        <v>2488.0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">
        <v>2.347167796E9</v>
      </c>
      <c r="B122" s="4">
        <v>42470.0</v>
      </c>
      <c r="C122" s="5">
        <f t="shared" si="1"/>
        <v>42470</v>
      </c>
      <c r="D122" s="3">
        <v>10078.0</v>
      </c>
      <c r="E122" s="3">
        <v>6.82999992370605</v>
      </c>
      <c r="F122" s="3">
        <v>6.82999992370605</v>
      </c>
      <c r="G122" s="3">
        <v>0.0</v>
      </c>
      <c r="H122" s="3">
        <v>1.01999998092651</v>
      </c>
      <c r="I122" s="3">
        <v>0.119999997317791</v>
      </c>
      <c r="J122" s="3">
        <v>5.69000005722046</v>
      </c>
      <c r="K122" s="3">
        <v>0.0</v>
      </c>
      <c r="L122" s="3">
        <v>12.0</v>
      </c>
      <c r="M122" s="3">
        <v>3.0</v>
      </c>
      <c r="N122" s="3">
        <v>303.0</v>
      </c>
      <c r="O122" s="3">
        <v>463.0</v>
      </c>
      <c r="P122" s="3">
        <v>2164.0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">
        <v>2.347167796E9</v>
      </c>
      <c r="B123" s="4">
        <v>42471.0</v>
      </c>
      <c r="C123" s="5">
        <f t="shared" si="1"/>
        <v>42471</v>
      </c>
      <c r="D123" s="3">
        <v>10001.0</v>
      </c>
      <c r="E123" s="3">
        <v>6.6100001335144</v>
      </c>
      <c r="F123" s="3">
        <v>6.6100001335144</v>
      </c>
      <c r="G123" s="3">
        <v>0.0</v>
      </c>
      <c r="H123" s="3">
        <v>0.330000013113022</v>
      </c>
      <c r="I123" s="3">
        <v>2.9300000667572</v>
      </c>
      <c r="J123" s="3">
        <v>3.35999989509583</v>
      </c>
      <c r="K123" s="3">
        <v>0.0</v>
      </c>
      <c r="L123" s="3">
        <v>5.0</v>
      </c>
      <c r="M123" s="3">
        <v>52.0</v>
      </c>
      <c r="N123" s="3">
        <v>196.0</v>
      </c>
      <c r="O123" s="3">
        <v>788.0</v>
      </c>
      <c r="P123" s="3">
        <v>2009.0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">
        <v>2.347167796E9</v>
      </c>
      <c r="B124" s="4">
        <v>42472.0</v>
      </c>
      <c r="C124" s="5">
        <f t="shared" si="1"/>
        <v>42472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425.0</v>
      </c>
      <c r="P124" s="3">
        <v>399.0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">
        <v>2.873212765E9</v>
      </c>
      <c r="B125" s="4">
        <v>42461.0</v>
      </c>
      <c r="C125" s="5">
        <f t="shared" si="1"/>
        <v>42461</v>
      </c>
      <c r="D125" s="3">
        <v>890.0</v>
      </c>
      <c r="E125" s="3">
        <v>0.600000023841858</v>
      </c>
      <c r="F125" s="3">
        <v>0.600000023841858</v>
      </c>
      <c r="G125" s="3">
        <v>0.0</v>
      </c>
      <c r="H125" s="3">
        <v>0.0</v>
      </c>
      <c r="I125" s="3">
        <v>0.0</v>
      </c>
      <c r="J125" s="3">
        <v>0.600000023841858</v>
      </c>
      <c r="K125" s="3">
        <v>0.0</v>
      </c>
      <c r="L125" s="3">
        <v>0.0</v>
      </c>
      <c r="M125" s="3">
        <v>0.0</v>
      </c>
      <c r="N125" s="3">
        <v>41.0</v>
      </c>
      <c r="O125" s="3">
        <v>1399.0</v>
      </c>
      <c r="P125" s="3">
        <v>1335.0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">
        <v>2.873212765E9</v>
      </c>
      <c r="B126" s="4">
        <v>42462.0</v>
      </c>
      <c r="C126" s="5">
        <f t="shared" si="1"/>
        <v>42462</v>
      </c>
      <c r="D126" s="3">
        <v>2214.0</v>
      </c>
      <c r="E126" s="3">
        <v>1.49000000953674</v>
      </c>
      <c r="F126" s="3">
        <v>1.49000000953674</v>
      </c>
      <c r="G126" s="3">
        <v>0.0</v>
      </c>
      <c r="H126" s="3">
        <v>0.0</v>
      </c>
      <c r="I126" s="3">
        <v>0.0</v>
      </c>
      <c r="J126" s="3">
        <v>1.49000000953674</v>
      </c>
      <c r="K126" s="3">
        <v>0.0</v>
      </c>
      <c r="L126" s="3">
        <v>0.0</v>
      </c>
      <c r="M126" s="3">
        <v>0.0</v>
      </c>
      <c r="N126" s="3">
        <v>197.0</v>
      </c>
      <c r="O126" s="3">
        <v>1243.0</v>
      </c>
      <c r="P126" s="3">
        <v>1559.0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">
        <v>2.873212765E9</v>
      </c>
      <c r="B127" s="4">
        <v>42463.0</v>
      </c>
      <c r="C127" s="5">
        <f t="shared" si="1"/>
        <v>42463</v>
      </c>
      <c r="D127" s="3">
        <v>7640.0</v>
      </c>
      <c r="E127" s="3">
        <v>5.13000011444092</v>
      </c>
      <c r="F127" s="3">
        <v>5.13000011444092</v>
      </c>
      <c r="G127" s="3">
        <v>0.0</v>
      </c>
      <c r="H127" s="3">
        <v>0.189999997615814</v>
      </c>
      <c r="I127" s="3">
        <v>0.800000011920929</v>
      </c>
      <c r="J127" s="3">
        <v>4.15000009536743</v>
      </c>
      <c r="K127" s="3">
        <v>0.0</v>
      </c>
      <c r="L127" s="3">
        <v>3.0</v>
      </c>
      <c r="M127" s="3">
        <v>15.0</v>
      </c>
      <c r="N127" s="3">
        <v>315.0</v>
      </c>
      <c r="O127" s="3">
        <v>1107.0</v>
      </c>
      <c r="P127" s="3">
        <v>1845.0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">
        <v>2.873212765E9</v>
      </c>
      <c r="B128" s="4">
        <v>42464.0</v>
      </c>
      <c r="C128" s="5">
        <f t="shared" si="1"/>
        <v>42464</v>
      </c>
      <c r="D128" s="3">
        <v>9713.0</v>
      </c>
      <c r="E128" s="3">
        <v>6.53000020980835</v>
      </c>
      <c r="F128" s="3">
        <v>6.53000020980835</v>
      </c>
      <c r="G128" s="3">
        <v>0.0</v>
      </c>
      <c r="H128" s="3">
        <v>0.340000003576279</v>
      </c>
      <c r="I128" s="3">
        <v>0.889999985694885</v>
      </c>
      <c r="J128" s="3">
        <v>5.28999996185303</v>
      </c>
      <c r="K128" s="3">
        <v>0.0</v>
      </c>
      <c r="L128" s="3">
        <v>6.0</v>
      </c>
      <c r="M128" s="3">
        <v>24.0</v>
      </c>
      <c r="N128" s="3">
        <v>355.0</v>
      </c>
      <c r="O128" s="3">
        <v>1055.0</v>
      </c>
      <c r="P128" s="3">
        <v>2046.0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">
        <v>2.873212765E9</v>
      </c>
      <c r="B129" s="4">
        <v>42465.0</v>
      </c>
      <c r="C129" s="5">
        <f t="shared" si="1"/>
        <v>42465</v>
      </c>
      <c r="D129" s="3">
        <v>8432.0</v>
      </c>
      <c r="E129" s="3">
        <v>5.67000007629395</v>
      </c>
      <c r="F129" s="3">
        <v>5.67000007629395</v>
      </c>
      <c r="G129" s="3">
        <v>0.0</v>
      </c>
      <c r="H129" s="3">
        <v>0.0</v>
      </c>
      <c r="I129" s="3">
        <v>0.0</v>
      </c>
      <c r="J129" s="3">
        <v>5.65000009536743</v>
      </c>
      <c r="K129" s="3">
        <v>0.00999999977648258</v>
      </c>
      <c r="L129" s="3">
        <v>0.0</v>
      </c>
      <c r="M129" s="3">
        <v>0.0</v>
      </c>
      <c r="N129" s="3">
        <v>374.0</v>
      </c>
      <c r="O129" s="3">
        <v>1066.0</v>
      </c>
      <c r="P129" s="3">
        <v>1953.0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">
        <v>2.873212765E9</v>
      </c>
      <c r="B130" s="4">
        <v>42466.0</v>
      </c>
      <c r="C130" s="5">
        <f t="shared" si="1"/>
        <v>42466</v>
      </c>
      <c r="D130" s="3">
        <v>7350.0</v>
      </c>
      <c r="E130" s="3">
        <v>4.94000005722046</v>
      </c>
      <c r="F130" s="3">
        <v>4.94000005722046</v>
      </c>
      <c r="G130" s="3">
        <v>0.0</v>
      </c>
      <c r="H130" s="3">
        <v>0.0</v>
      </c>
      <c r="I130" s="3">
        <v>0.0</v>
      </c>
      <c r="J130" s="3">
        <v>4.94000005722046</v>
      </c>
      <c r="K130" s="3">
        <v>0.0</v>
      </c>
      <c r="L130" s="3">
        <v>0.0</v>
      </c>
      <c r="M130" s="3">
        <v>0.0</v>
      </c>
      <c r="N130" s="3">
        <v>382.0</v>
      </c>
      <c r="O130" s="3">
        <v>1058.0</v>
      </c>
      <c r="P130" s="3">
        <v>1910.0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">
        <v>2.873212765E9</v>
      </c>
      <c r="B131" s="4">
        <v>42467.0</v>
      </c>
      <c r="C131" s="5">
        <f t="shared" si="1"/>
        <v>42467</v>
      </c>
      <c r="D131" s="3">
        <v>9353.0</v>
      </c>
      <c r="E131" s="3">
        <v>6.30999994277954</v>
      </c>
      <c r="F131" s="3">
        <v>6.30999994277954</v>
      </c>
      <c r="G131" s="3">
        <v>0.0</v>
      </c>
      <c r="H131" s="3">
        <v>0.370000004768372</v>
      </c>
      <c r="I131" s="3">
        <v>0.689999997615814</v>
      </c>
      <c r="J131" s="3">
        <v>5.23999977111816</v>
      </c>
      <c r="K131" s="3">
        <v>0.0</v>
      </c>
      <c r="L131" s="3">
        <v>5.0</v>
      </c>
      <c r="M131" s="3">
        <v>17.0</v>
      </c>
      <c r="N131" s="3">
        <v>363.0</v>
      </c>
      <c r="O131" s="3">
        <v>1055.0</v>
      </c>
      <c r="P131" s="3">
        <v>2035.0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">
        <v>2.873212765E9</v>
      </c>
      <c r="B132" s="4">
        <v>42468.0</v>
      </c>
      <c r="C132" s="5">
        <f t="shared" si="1"/>
        <v>42468</v>
      </c>
      <c r="D132" s="3">
        <v>7157.0</v>
      </c>
      <c r="E132" s="3">
        <v>4.80999994277954</v>
      </c>
      <c r="F132" s="3">
        <v>4.80999994277954</v>
      </c>
      <c r="G132" s="3">
        <v>0.0</v>
      </c>
      <c r="H132" s="3">
        <v>0.0</v>
      </c>
      <c r="I132" s="3">
        <v>0.0</v>
      </c>
      <c r="J132" s="3">
        <v>4.80999994277954</v>
      </c>
      <c r="K132" s="3">
        <v>0.0</v>
      </c>
      <c r="L132" s="3">
        <v>0.0</v>
      </c>
      <c r="M132" s="3">
        <v>0.0</v>
      </c>
      <c r="N132" s="3">
        <v>380.0</v>
      </c>
      <c r="O132" s="3">
        <v>1060.0</v>
      </c>
      <c r="P132" s="3">
        <v>1944.0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">
        <v>2.873212765E9</v>
      </c>
      <c r="B133" s="4">
        <v>42469.0</v>
      </c>
      <c r="C133" s="5">
        <f t="shared" si="1"/>
        <v>42469</v>
      </c>
      <c r="D133" s="3">
        <v>14103.0</v>
      </c>
      <c r="E133" s="3">
        <v>9.5600004196167</v>
      </c>
      <c r="F133" s="3">
        <v>9.5600004196167</v>
      </c>
      <c r="G133" s="3">
        <v>0.0</v>
      </c>
      <c r="H133" s="3">
        <v>3.01999998092651</v>
      </c>
      <c r="I133" s="3">
        <v>0.409999996423721</v>
      </c>
      <c r="J133" s="3">
        <v>6.1399998664856</v>
      </c>
      <c r="K133" s="3">
        <v>0.00999999977648258</v>
      </c>
      <c r="L133" s="3">
        <v>46.0</v>
      </c>
      <c r="M133" s="3">
        <v>8.0</v>
      </c>
      <c r="N133" s="3">
        <v>288.0</v>
      </c>
      <c r="O133" s="3">
        <v>1098.0</v>
      </c>
      <c r="P133" s="3">
        <v>2257.0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">
        <v>2.873212765E9</v>
      </c>
      <c r="B134" s="4">
        <v>42470.0</v>
      </c>
      <c r="C134" s="5">
        <f t="shared" si="1"/>
        <v>42470</v>
      </c>
      <c r="D134" s="3">
        <v>5290.0</v>
      </c>
      <c r="E134" s="3">
        <v>3.54999995231628</v>
      </c>
      <c r="F134" s="3">
        <v>3.54999995231628</v>
      </c>
      <c r="G134" s="3">
        <v>0.0</v>
      </c>
      <c r="H134" s="3">
        <v>0.0399999991059303</v>
      </c>
      <c r="I134" s="3">
        <v>0.340000003576279</v>
      </c>
      <c r="J134" s="3">
        <v>3.17000007629395</v>
      </c>
      <c r="K134" s="3">
        <v>0.0</v>
      </c>
      <c r="L134" s="3">
        <v>1.0</v>
      </c>
      <c r="M134" s="3">
        <v>8.0</v>
      </c>
      <c r="N134" s="3">
        <v>251.0</v>
      </c>
      <c r="O134" s="3">
        <v>1180.0</v>
      </c>
      <c r="P134" s="3">
        <v>1724.0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">
        <v>2.873212765E9</v>
      </c>
      <c r="B135" s="4">
        <v>42471.0</v>
      </c>
      <c r="C135" s="5">
        <f t="shared" si="1"/>
        <v>42471</v>
      </c>
      <c r="D135" s="3">
        <v>7497.0</v>
      </c>
      <c r="E135" s="3">
        <v>5.03999996185303</v>
      </c>
      <c r="F135" s="3">
        <v>5.03999996185303</v>
      </c>
      <c r="G135" s="3">
        <v>0.0</v>
      </c>
      <c r="H135" s="3">
        <v>0.0</v>
      </c>
      <c r="I135" s="3">
        <v>0.0</v>
      </c>
      <c r="J135" s="3">
        <v>5.03999996185303</v>
      </c>
      <c r="K135" s="3">
        <v>0.0</v>
      </c>
      <c r="L135" s="3">
        <v>0.0</v>
      </c>
      <c r="M135" s="3">
        <v>0.0</v>
      </c>
      <c r="N135" s="3">
        <v>357.0</v>
      </c>
      <c r="O135" s="3">
        <v>882.0</v>
      </c>
      <c r="P135" s="3">
        <v>1741.0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">
        <v>2.873212765E9</v>
      </c>
      <c r="B136" s="4">
        <v>42472.0</v>
      </c>
      <c r="C136" s="5">
        <f t="shared" si="1"/>
        <v>42472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1440.0</v>
      </c>
      <c r="P136" s="3">
        <v>0.0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">
        <v>2.891001357E9</v>
      </c>
      <c r="B137" s="4">
        <v>42458.0</v>
      </c>
      <c r="C137" s="5">
        <f t="shared" si="1"/>
        <v>42458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1440.0</v>
      </c>
      <c r="P137" s="3">
        <v>1920.0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">
        <v>2.891001357E9</v>
      </c>
      <c r="B138" s="4">
        <v>42459.0</v>
      </c>
      <c r="C138" s="5">
        <f t="shared" si="1"/>
        <v>42459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1440.0</v>
      </c>
      <c r="P138" s="3">
        <v>1920.0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">
        <v>2.891001357E9</v>
      </c>
      <c r="B139" s="4">
        <v>42460.0</v>
      </c>
      <c r="C139" s="5">
        <f t="shared" si="1"/>
        <v>42460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1440.0</v>
      </c>
      <c r="P139" s="3">
        <v>1920.0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">
        <v>2.891001357E9</v>
      </c>
      <c r="B140" s="4">
        <v>42461.0</v>
      </c>
      <c r="C140" s="5">
        <f t="shared" si="1"/>
        <v>42461</v>
      </c>
      <c r="D140" s="3">
        <v>0.0</v>
      </c>
      <c r="E140" s="3">
        <v>0.0</v>
      </c>
      <c r="F140" s="3">
        <v>0.0</v>
      </c>
      <c r="G140" s="3">
        <v>4.82803201675415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660.0</v>
      </c>
      <c r="N140" s="3">
        <v>0.0</v>
      </c>
      <c r="O140" s="3">
        <v>780.0</v>
      </c>
      <c r="P140" s="3">
        <v>4562.0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">
        <v>2.891001357E9</v>
      </c>
      <c r="B141" s="4">
        <v>42462.0</v>
      </c>
      <c r="C141" s="5">
        <f t="shared" si="1"/>
        <v>42462</v>
      </c>
      <c r="D141" s="3">
        <v>4126.0</v>
      </c>
      <c r="E141" s="3">
        <v>3.22000002861023</v>
      </c>
      <c r="F141" s="3">
        <v>0.0</v>
      </c>
      <c r="G141" s="3">
        <v>3.21868801116943</v>
      </c>
      <c r="H141" s="3">
        <v>0.0</v>
      </c>
      <c r="I141" s="3">
        <v>0.0</v>
      </c>
      <c r="J141" s="3">
        <v>3.22000002861023</v>
      </c>
      <c r="K141" s="3">
        <v>0.0</v>
      </c>
      <c r="L141" s="3">
        <v>0.0</v>
      </c>
      <c r="M141" s="3">
        <v>0.0</v>
      </c>
      <c r="N141" s="3">
        <v>720.0</v>
      </c>
      <c r="O141" s="3">
        <v>720.0</v>
      </c>
      <c r="P141" s="3">
        <v>2881.0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">
        <v>2.891001357E9</v>
      </c>
      <c r="B142" s="4">
        <v>42463.0</v>
      </c>
      <c r="C142" s="5">
        <f t="shared" si="1"/>
        <v>42463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1440.0</v>
      </c>
      <c r="P142" s="3">
        <v>1920.0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">
        <v>2.891001357E9</v>
      </c>
      <c r="B143" s="4">
        <v>42464.0</v>
      </c>
      <c r="C143" s="5">
        <f t="shared" si="1"/>
        <v>42464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1440.0</v>
      </c>
      <c r="P143" s="3">
        <v>1920.0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">
        <v>2.891001357E9</v>
      </c>
      <c r="B144" s="4">
        <v>42465.0</v>
      </c>
      <c r="C144" s="5">
        <f t="shared" si="1"/>
        <v>42465</v>
      </c>
      <c r="D144" s="3">
        <v>2063.0</v>
      </c>
      <c r="E144" s="3">
        <v>1.61000001430511</v>
      </c>
      <c r="F144" s="3">
        <v>0.0</v>
      </c>
      <c r="G144" s="3">
        <v>1.60934400558472</v>
      </c>
      <c r="H144" s="3">
        <v>0.0</v>
      </c>
      <c r="I144" s="3">
        <v>0.0</v>
      </c>
      <c r="J144" s="3">
        <v>1.61000001430511</v>
      </c>
      <c r="K144" s="3">
        <v>0.0</v>
      </c>
      <c r="L144" s="3">
        <v>0.0</v>
      </c>
      <c r="M144" s="3">
        <v>0.0</v>
      </c>
      <c r="N144" s="3">
        <v>630.0</v>
      </c>
      <c r="O144" s="3">
        <v>99.0</v>
      </c>
      <c r="P144" s="3">
        <v>1144.0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">
        <v>3.372868164E9</v>
      </c>
      <c r="B145" s="4">
        <v>42461.0</v>
      </c>
      <c r="C145" s="5">
        <f t="shared" si="1"/>
        <v>42461</v>
      </c>
      <c r="D145" s="3">
        <v>5785.0</v>
      </c>
      <c r="E145" s="3">
        <v>3.95000004768372</v>
      </c>
      <c r="F145" s="3">
        <v>3.95000004768372</v>
      </c>
      <c r="G145" s="3">
        <v>0.0</v>
      </c>
      <c r="H145" s="3">
        <v>0.0</v>
      </c>
      <c r="I145" s="3">
        <v>0.0</v>
      </c>
      <c r="J145" s="3">
        <v>3.91000008583069</v>
      </c>
      <c r="K145" s="3">
        <v>0.0399999991059303</v>
      </c>
      <c r="L145" s="3">
        <v>0.0</v>
      </c>
      <c r="M145" s="3">
        <v>0.0</v>
      </c>
      <c r="N145" s="3">
        <v>311.0</v>
      </c>
      <c r="O145" s="3">
        <v>1129.0</v>
      </c>
      <c r="P145" s="3">
        <v>1852.0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">
        <v>3.372868164E9</v>
      </c>
      <c r="B146" s="4">
        <v>42462.0</v>
      </c>
      <c r="C146" s="5">
        <f t="shared" si="1"/>
        <v>42462</v>
      </c>
      <c r="D146" s="3">
        <v>7625.0</v>
      </c>
      <c r="E146" s="3">
        <v>5.23000001907349</v>
      </c>
      <c r="F146" s="3">
        <v>5.23000001907349</v>
      </c>
      <c r="G146" s="3">
        <v>0.0</v>
      </c>
      <c r="H146" s="3">
        <v>1.67999994754791</v>
      </c>
      <c r="I146" s="3">
        <v>0.0399999991059303</v>
      </c>
      <c r="J146" s="3">
        <v>3.5</v>
      </c>
      <c r="K146" s="3">
        <v>0.00999999977648258</v>
      </c>
      <c r="L146" s="3">
        <v>24.0</v>
      </c>
      <c r="M146" s="3">
        <v>1.0</v>
      </c>
      <c r="N146" s="3">
        <v>341.0</v>
      </c>
      <c r="O146" s="3">
        <v>1074.0</v>
      </c>
      <c r="P146" s="3">
        <v>2069.0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">
        <v>3.372868164E9</v>
      </c>
      <c r="B147" s="4">
        <v>42463.0</v>
      </c>
      <c r="C147" s="5">
        <f t="shared" si="1"/>
        <v>42463</v>
      </c>
      <c r="D147" s="3">
        <v>4706.0</v>
      </c>
      <c r="E147" s="3">
        <v>3.21000003814697</v>
      </c>
      <c r="F147" s="3">
        <v>3.21000003814697</v>
      </c>
      <c r="G147" s="3">
        <v>0.0</v>
      </c>
      <c r="H147" s="3">
        <v>0.0</v>
      </c>
      <c r="I147" s="3">
        <v>0.0</v>
      </c>
      <c r="J147" s="3">
        <v>3.21000003814697</v>
      </c>
      <c r="K147" s="3">
        <v>0.0</v>
      </c>
      <c r="L147" s="3">
        <v>0.0</v>
      </c>
      <c r="M147" s="3">
        <v>0.0</v>
      </c>
      <c r="N147" s="3">
        <v>299.0</v>
      </c>
      <c r="O147" s="3">
        <v>1141.0</v>
      </c>
      <c r="P147" s="3">
        <v>1816.0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">
        <v>3.372868164E9</v>
      </c>
      <c r="B148" s="4">
        <v>42464.0</v>
      </c>
      <c r="C148" s="5">
        <f t="shared" si="1"/>
        <v>42464</v>
      </c>
      <c r="D148" s="3">
        <v>5861.0</v>
      </c>
      <c r="E148" s="3">
        <v>4.01999998092651</v>
      </c>
      <c r="F148" s="3">
        <v>4.01999998092651</v>
      </c>
      <c r="G148" s="3">
        <v>0.0</v>
      </c>
      <c r="H148" s="3">
        <v>1.29999995231628</v>
      </c>
      <c r="I148" s="3">
        <v>0.219999998807907</v>
      </c>
      <c r="J148" s="3">
        <v>2.49000000953674</v>
      </c>
      <c r="K148" s="3">
        <v>0.00999999977648258</v>
      </c>
      <c r="L148" s="3">
        <v>20.0</v>
      </c>
      <c r="M148" s="3">
        <v>7.0</v>
      </c>
      <c r="N148" s="3">
        <v>233.0</v>
      </c>
      <c r="O148" s="3">
        <v>1180.0</v>
      </c>
      <c r="P148" s="3">
        <v>1878.0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">
        <v>3.372868164E9</v>
      </c>
      <c r="B149" s="4">
        <v>42465.0</v>
      </c>
      <c r="C149" s="5">
        <f t="shared" si="1"/>
        <v>42465</v>
      </c>
      <c r="D149" s="3">
        <v>4460.0</v>
      </c>
      <c r="E149" s="3">
        <v>3.03999996185303</v>
      </c>
      <c r="F149" s="3">
        <v>3.03999996185303</v>
      </c>
      <c r="G149" s="3">
        <v>0.0</v>
      </c>
      <c r="H149" s="3">
        <v>0.0</v>
      </c>
      <c r="I149" s="3">
        <v>0.0</v>
      </c>
      <c r="J149" s="3">
        <v>3.01999998092651</v>
      </c>
      <c r="K149" s="3">
        <v>0.0299999993294477</v>
      </c>
      <c r="L149" s="3">
        <v>0.0</v>
      </c>
      <c r="M149" s="3">
        <v>0.0</v>
      </c>
      <c r="N149" s="3">
        <v>248.0</v>
      </c>
      <c r="O149" s="3">
        <v>1192.0</v>
      </c>
      <c r="P149" s="3">
        <v>1787.0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">
        <v>3.372868164E9</v>
      </c>
      <c r="B150" s="4">
        <v>42466.0</v>
      </c>
      <c r="C150" s="5">
        <f t="shared" si="1"/>
        <v>42466</v>
      </c>
      <c r="D150" s="3">
        <v>6406.0</v>
      </c>
      <c r="E150" s="3">
        <v>4.3899998664856</v>
      </c>
      <c r="F150" s="3">
        <v>4.3899998664856</v>
      </c>
      <c r="G150" s="3">
        <v>0.0</v>
      </c>
      <c r="H150" s="3">
        <v>0.779999971389771</v>
      </c>
      <c r="I150" s="3">
        <v>0.0900000035762787</v>
      </c>
      <c r="J150" s="3">
        <v>3.51999998092651</v>
      </c>
      <c r="K150" s="3">
        <v>0.00999999977648258</v>
      </c>
      <c r="L150" s="3">
        <v>17.0</v>
      </c>
      <c r="M150" s="3">
        <v>4.0</v>
      </c>
      <c r="N150" s="3">
        <v>325.0</v>
      </c>
      <c r="O150" s="3">
        <v>1094.0</v>
      </c>
      <c r="P150" s="3">
        <v>2010.0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">
        <v>3.372868164E9</v>
      </c>
      <c r="B151" s="4">
        <v>42467.0</v>
      </c>
      <c r="C151" s="5">
        <f t="shared" si="1"/>
        <v>42467</v>
      </c>
      <c r="D151" s="3">
        <v>7392.0</v>
      </c>
      <c r="E151" s="3">
        <v>5.09999990463257</v>
      </c>
      <c r="F151" s="3">
        <v>5.09999990463257</v>
      </c>
      <c r="G151" s="3">
        <v>0.0</v>
      </c>
      <c r="H151" s="3">
        <v>0.870000004768372</v>
      </c>
      <c r="I151" s="3">
        <v>0.159999996423721</v>
      </c>
      <c r="J151" s="3">
        <v>4.05000019073486</v>
      </c>
      <c r="K151" s="3">
        <v>0.0199999995529652</v>
      </c>
      <c r="L151" s="3">
        <v>14.0</v>
      </c>
      <c r="M151" s="3">
        <v>9.0</v>
      </c>
      <c r="N151" s="3">
        <v>332.0</v>
      </c>
      <c r="O151" s="3">
        <v>1085.0</v>
      </c>
      <c r="P151" s="3">
        <v>2038.0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">
        <v>3.372868164E9</v>
      </c>
      <c r="B152" s="4">
        <v>42468.0</v>
      </c>
      <c r="C152" s="5">
        <f t="shared" si="1"/>
        <v>42468</v>
      </c>
      <c r="D152" s="3">
        <v>5551.0</v>
      </c>
      <c r="E152" s="3">
        <v>3.78999996185303</v>
      </c>
      <c r="F152" s="3">
        <v>3.78999996185303</v>
      </c>
      <c r="G152" s="3">
        <v>0.0</v>
      </c>
      <c r="H152" s="3">
        <v>0.0</v>
      </c>
      <c r="I152" s="3">
        <v>0.0</v>
      </c>
      <c r="J152" s="3">
        <v>3.76999998092651</v>
      </c>
      <c r="K152" s="3">
        <v>0.00999999977648258</v>
      </c>
      <c r="L152" s="3">
        <v>0.0</v>
      </c>
      <c r="M152" s="3">
        <v>0.0</v>
      </c>
      <c r="N152" s="3">
        <v>282.0</v>
      </c>
      <c r="O152" s="3">
        <v>1158.0</v>
      </c>
      <c r="P152" s="3">
        <v>1815.0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">
        <v>3.372868164E9</v>
      </c>
      <c r="B153" s="4">
        <v>42469.0</v>
      </c>
      <c r="C153" s="5">
        <f t="shared" si="1"/>
        <v>42469</v>
      </c>
      <c r="D153" s="3">
        <v>8827.0</v>
      </c>
      <c r="E153" s="3">
        <v>6.25</v>
      </c>
      <c r="F153" s="3">
        <v>6.25</v>
      </c>
      <c r="G153" s="3">
        <v>0.0</v>
      </c>
      <c r="H153" s="3">
        <v>1.76999998092651</v>
      </c>
      <c r="I153" s="3">
        <v>0.479999989271164</v>
      </c>
      <c r="J153" s="3">
        <v>4.0</v>
      </c>
      <c r="K153" s="3">
        <v>0.00999999977648258</v>
      </c>
      <c r="L153" s="3">
        <v>21.0</v>
      </c>
      <c r="M153" s="3">
        <v>10.0</v>
      </c>
      <c r="N153" s="3">
        <v>346.0</v>
      </c>
      <c r="O153" s="3">
        <v>1063.0</v>
      </c>
      <c r="P153" s="3">
        <v>2062.0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">
        <v>3.372868164E9</v>
      </c>
      <c r="B154" s="4">
        <v>42470.0</v>
      </c>
      <c r="C154" s="5">
        <f t="shared" si="1"/>
        <v>42470</v>
      </c>
      <c r="D154" s="3">
        <v>4662.0</v>
      </c>
      <c r="E154" s="3">
        <v>3.1800000667572</v>
      </c>
      <c r="F154" s="3">
        <v>3.1800000667572</v>
      </c>
      <c r="G154" s="3">
        <v>0.0</v>
      </c>
      <c r="H154" s="3">
        <v>1.03999996185303</v>
      </c>
      <c r="I154" s="3">
        <v>0.150000005960464</v>
      </c>
      <c r="J154" s="3">
        <v>1.99000000953674</v>
      </c>
      <c r="K154" s="3">
        <v>0.0</v>
      </c>
      <c r="L154" s="3">
        <v>22.0</v>
      </c>
      <c r="M154" s="3">
        <v>4.0</v>
      </c>
      <c r="N154" s="3">
        <v>152.0</v>
      </c>
      <c r="O154" s="3">
        <v>735.0</v>
      </c>
      <c r="P154" s="3">
        <v>1276.0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">
        <v>3.977333714E9</v>
      </c>
      <c r="B155" s="4">
        <v>42461.0</v>
      </c>
      <c r="C155" s="5">
        <f t="shared" si="1"/>
        <v>42461</v>
      </c>
      <c r="D155" s="3">
        <v>4499.0</v>
      </c>
      <c r="E155" s="3">
        <v>3.00999999046326</v>
      </c>
      <c r="F155" s="3">
        <v>3.00999999046326</v>
      </c>
      <c r="G155" s="3">
        <v>0.0</v>
      </c>
      <c r="H155" s="3">
        <v>0.0</v>
      </c>
      <c r="I155" s="3">
        <v>0.0</v>
      </c>
      <c r="J155" s="3">
        <v>3.00999999046326</v>
      </c>
      <c r="K155" s="3">
        <v>0.0</v>
      </c>
      <c r="L155" s="3">
        <v>0.0</v>
      </c>
      <c r="M155" s="3">
        <v>0.0</v>
      </c>
      <c r="N155" s="3">
        <v>168.0</v>
      </c>
      <c r="O155" s="3">
        <v>842.0</v>
      </c>
      <c r="P155" s="3">
        <v>1288.0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">
        <v>3.977333714E9</v>
      </c>
      <c r="B156" s="4">
        <v>42462.0</v>
      </c>
      <c r="C156" s="5">
        <f t="shared" si="1"/>
        <v>42462</v>
      </c>
      <c r="D156" s="3">
        <v>7618.0</v>
      </c>
      <c r="E156" s="3">
        <v>5.09999990463257</v>
      </c>
      <c r="F156" s="3">
        <v>5.09999990463257</v>
      </c>
      <c r="G156" s="3">
        <v>0.0</v>
      </c>
      <c r="H156" s="3">
        <v>0.0</v>
      </c>
      <c r="I156" s="3">
        <v>0.180000007152557</v>
      </c>
      <c r="J156" s="3">
        <v>4.90999984741211</v>
      </c>
      <c r="K156" s="3">
        <v>0.0</v>
      </c>
      <c r="L156" s="3">
        <v>0.0</v>
      </c>
      <c r="M156" s="3">
        <v>6.0</v>
      </c>
      <c r="N156" s="3">
        <v>302.0</v>
      </c>
      <c r="O156" s="3">
        <v>842.0</v>
      </c>
      <c r="P156" s="3">
        <v>1490.0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">
        <v>3.977333714E9</v>
      </c>
      <c r="B157" s="4">
        <v>42463.0</v>
      </c>
      <c r="C157" s="5">
        <f t="shared" si="1"/>
        <v>42463</v>
      </c>
      <c r="D157" s="3">
        <v>11508.0</v>
      </c>
      <c r="E157" s="3">
        <v>7.69999980926514</v>
      </c>
      <c r="F157" s="3">
        <v>7.69999980926514</v>
      </c>
      <c r="G157" s="3">
        <v>0.0</v>
      </c>
      <c r="H157" s="3">
        <v>2.17000007629395</v>
      </c>
      <c r="I157" s="3">
        <v>0.839999973773956</v>
      </c>
      <c r="J157" s="3">
        <v>4.69000005722046</v>
      </c>
      <c r="K157" s="3">
        <v>0.0</v>
      </c>
      <c r="L157" s="3">
        <v>29.0</v>
      </c>
      <c r="M157" s="3">
        <v>22.0</v>
      </c>
      <c r="N157" s="3">
        <v>282.0</v>
      </c>
      <c r="O157" s="3">
        <v>748.0</v>
      </c>
      <c r="P157" s="3">
        <v>1630.0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">
        <v>3.977333714E9</v>
      </c>
      <c r="B158" s="4">
        <v>42464.0</v>
      </c>
      <c r="C158" s="5">
        <f t="shared" si="1"/>
        <v>42464</v>
      </c>
      <c r="D158" s="3">
        <v>11943.0</v>
      </c>
      <c r="E158" s="3">
        <v>7.98999977111816</v>
      </c>
      <c r="F158" s="3">
        <v>7.98999977111816</v>
      </c>
      <c r="G158" s="3">
        <v>0.0</v>
      </c>
      <c r="H158" s="3">
        <v>1.02999997138977</v>
      </c>
      <c r="I158" s="3">
        <v>2.00999999046326</v>
      </c>
      <c r="J158" s="3">
        <v>4.94999980926514</v>
      </c>
      <c r="K158" s="3">
        <v>0.0</v>
      </c>
      <c r="L158" s="3">
        <v>16.0</v>
      </c>
      <c r="M158" s="3">
        <v>43.0</v>
      </c>
      <c r="N158" s="3">
        <v>297.0</v>
      </c>
      <c r="O158" s="3">
        <v>710.0</v>
      </c>
      <c r="P158" s="3">
        <v>1648.0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">
        <v>3.977333714E9</v>
      </c>
      <c r="B159" s="4">
        <v>42465.0</v>
      </c>
      <c r="C159" s="5">
        <f t="shared" si="1"/>
        <v>42465</v>
      </c>
      <c r="D159" s="3">
        <v>12303.0</v>
      </c>
      <c r="E159" s="3">
        <v>8.22999954223633</v>
      </c>
      <c r="F159" s="3">
        <v>8.22999954223633</v>
      </c>
      <c r="G159" s="3">
        <v>0.0</v>
      </c>
      <c r="H159" s="3">
        <v>1.71000003814697</v>
      </c>
      <c r="I159" s="3">
        <v>1.35000002384186</v>
      </c>
      <c r="J159" s="3">
        <v>5.17000007629395</v>
      </c>
      <c r="K159" s="3">
        <v>0.0</v>
      </c>
      <c r="L159" s="3">
        <v>26.0</v>
      </c>
      <c r="M159" s="3">
        <v>32.0</v>
      </c>
      <c r="N159" s="3">
        <v>291.0</v>
      </c>
      <c r="O159" s="3">
        <v>605.0</v>
      </c>
      <c r="P159" s="3">
        <v>1649.0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">
        <v>3.977333714E9</v>
      </c>
      <c r="B160" s="4">
        <v>42466.0</v>
      </c>
      <c r="C160" s="5">
        <f t="shared" si="1"/>
        <v>42466</v>
      </c>
      <c r="D160" s="3">
        <v>15425.0</v>
      </c>
      <c r="E160" s="3">
        <v>10.3199996948242</v>
      </c>
      <c r="F160" s="3">
        <v>10.3199996948242</v>
      </c>
      <c r="G160" s="3">
        <v>0.0</v>
      </c>
      <c r="H160" s="3">
        <v>1.62000000476837</v>
      </c>
      <c r="I160" s="3">
        <v>1.82000005245209</v>
      </c>
      <c r="J160" s="3">
        <v>6.86999988555908</v>
      </c>
      <c r="K160" s="3">
        <v>0.0</v>
      </c>
      <c r="L160" s="3">
        <v>24.0</v>
      </c>
      <c r="M160" s="3">
        <v>45.0</v>
      </c>
      <c r="N160" s="3">
        <v>331.0</v>
      </c>
      <c r="O160" s="3">
        <v>614.0</v>
      </c>
      <c r="P160" s="3">
        <v>1783.0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">
        <v>3.977333714E9</v>
      </c>
      <c r="B161" s="4">
        <v>42467.0</v>
      </c>
      <c r="C161" s="5">
        <f t="shared" si="1"/>
        <v>42467</v>
      </c>
      <c r="D161" s="3">
        <v>8422.0</v>
      </c>
      <c r="E161" s="3">
        <v>5.63000011444092</v>
      </c>
      <c r="F161" s="3">
        <v>5.63000011444092</v>
      </c>
      <c r="G161" s="3">
        <v>0.0</v>
      </c>
      <c r="H161" s="3">
        <v>0.0</v>
      </c>
      <c r="I161" s="3">
        <v>3.59999990463257</v>
      </c>
      <c r="J161" s="3">
        <v>2.03999996185303</v>
      </c>
      <c r="K161" s="3">
        <v>0.0</v>
      </c>
      <c r="L161" s="3">
        <v>0.0</v>
      </c>
      <c r="M161" s="3">
        <v>81.0</v>
      </c>
      <c r="N161" s="3">
        <v>139.0</v>
      </c>
      <c r="O161" s="3">
        <v>815.0</v>
      </c>
      <c r="P161" s="3">
        <v>1431.0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">
        <v>3.977333714E9</v>
      </c>
      <c r="B162" s="4">
        <v>42468.0</v>
      </c>
      <c r="C162" s="5">
        <f t="shared" si="1"/>
        <v>42468</v>
      </c>
      <c r="D162" s="3">
        <v>10226.0</v>
      </c>
      <c r="E162" s="3">
        <v>6.84000015258789</v>
      </c>
      <c r="F162" s="3">
        <v>6.84000015258789</v>
      </c>
      <c r="G162" s="3">
        <v>0.0</v>
      </c>
      <c r="H162" s="3">
        <v>0.0</v>
      </c>
      <c r="I162" s="3">
        <v>4.44000005722046</v>
      </c>
      <c r="J162" s="3">
        <v>2.40000009536743</v>
      </c>
      <c r="K162" s="3">
        <v>0.0</v>
      </c>
      <c r="L162" s="3">
        <v>0.0</v>
      </c>
      <c r="M162" s="3">
        <v>101.0</v>
      </c>
      <c r="N162" s="3">
        <v>174.0</v>
      </c>
      <c r="O162" s="3">
        <v>685.0</v>
      </c>
      <c r="P162" s="3">
        <v>1524.0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">
        <v>3.977333714E9</v>
      </c>
      <c r="B163" s="4">
        <v>42469.0</v>
      </c>
      <c r="C163" s="5">
        <f t="shared" si="1"/>
        <v>42469</v>
      </c>
      <c r="D163" s="3">
        <v>14583.0</v>
      </c>
      <c r="E163" s="3">
        <v>9.76000022888184</v>
      </c>
      <c r="F163" s="3">
        <v>9.76000022888184</v>
      </c>
      <c r="G163" s="3">
        <v>0.0</v>
      </c>
      <c r="H163" s="3">
        <v>2.48000001907349</v>
      </c>
      <c r="I163" s="3">
        <v>1.74000000953674</v>
      </c>
      <c r="J163" s="3">
        <v>5.53000020980835</v>
      </c>
      <c r="K163" s="3">
        <v>0.0</v>
      </c>
      <c r="L163" s="3">
        <v>35.0</v>
      </c>
      <c r="M163" s="3">
        <v>36.0</v>
      </c>
      <c r="N163" s="3">
        <v>254.0</v>
      </c>
      <c r="O163" s="3">
        <v>697.0</v>
      </c>
      <c r="P163" s="3">
        <v>1697.0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">
        <v>3.977333714E9</v>
      </c>
      <c r="B164" s="4">
        <v>42470.0</v>
      </c>
      <c r="C164" s="5">
        <f t="shared" si="1"/>
        <v>42470</v>
      </c>
      <c r="D164" s="3">
        <v>3573.0</v>
      </c>
      <c r="E164" s="3">
        <v>2.39000010490417</v>
      </c>
      <c r="F164" s="3">
        <v>2.39000010490417</v>
      </c>
      <c r="G164" s="3">
        <v>0.0</v>
      </c>
      <c r="H164" s="3">
        <v>0.939999997615814</v>
      </c>
      <c r="I164" s="3">
        <v>0.409999996423721</v>
      </c>
      <c r="J164" s="3">
        <v>0.970000028610229</v>
      </c>
      <c r="K164" s="3">
        <v>0.0</v>
      </c>
      <c r="L164" s="3">
        <v>15.0</v>
      </c>
      <c r="M164" s="3">
        <v>8.0</v>
      </c>
      <c r="N164" s="3">
        <v>99.0</v>
      </c>
      <c r="O164" s="3">
        <v>866.0</v>
      </c>
      <c r="P164" s="3">
        <v>1232.0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">
        <v>3.977333714E9</v>
      </c>
      <c r="B165" s="4">
        <v>42471.0</v>
      </c>
      <c r="C165" s="5">
        <f t="shared" si="1"/>
        <v>42471</v>
      </c>
      <c r="D165" s="3">
        <v>3108.0</v>
      </c>
      <c r="E165" s="3">
        <v>2.14000010490417</v>
      </c>
      <c r="F165" s="3">
        <v>2.14000010490417</v>
      </c>
      <c r="G165" s="3">
        <v>0.0</v>
      </c>
      <c r="H165" s="3">
        <v>0.0700000002980232</v>
      </c>
      <c r="I165" s="3">
        <v>0.0399999991059303</v>
      </c>
      <c r="J165" s="3">
        <v>1.96000003814697</v>
      </c>
      <c r="K165" s="3">
        <v>0.0</v>
      </c>
      <c r="L165" s="3">
        <v>1.0</v>
      </c>
      <c r="M165" s="3">
        <v>1.0</v>
      </c>
      <c r="N165" s="3">
        <v>129.0</v>
      </c>
      <c r="O165" s="3">
        <v>894.0</v>
      </c>
      <c r="P165" s="3">
        <v>1223.0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">
        <v>3.977333714E9</v>
      </c>
      <c r="B166" s="4">
        <v>42472.0</v>
      </c>
      <c r="C166" s="5">
        <f t="shared" si="1"/>
        <v>42472</v>
      </c>
      <c r="D166" s="3">
        <v>759.0</v>
      </c>
      <c r="E166" s="3">
        <v>0.569999992847443</v>
      </c>
      <c r="F166" s="3">
        <v>0.569999992847443</v>
      </c>
      <c r="G166" s="3">
        <v>0.0</v>
      </c>
      <c r="H166" s="3">
        <v>0.0</v>
      </c>
      <c r="I166" s="3">
        <v>0.0</v>
      </c>
      <c r="J166" s="3">
        <v>0.569999992847443</v>
      </c>
      <c r="K166" s="3">
        <v>0.0</v>
      </c>
      <c r="L166" s="3">
        <v>0.0</v>
      </c>
      <c r="M166" s="3">
        <v>0.0</v>
      </c>
      <c r="N166" s="3">
        <v>17.0</v>
      </c>
      <c r="O166" s="3">
        <v>187.0</v>
      </c>
      <c r="P166" s="3">
        <v>182.0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">
        <v>4.02033265E9</v>
      </c>
      <c r="B167" s="4">
        <v>42441.0</v>
      </c>
      <c r="C167" s="5">
        <f t="shared" si="1"/>
        <v>42441</v>
      </c>
      <c r="D167" s="3">
        <v>5543.0</v>
      </c>
      <c r="E167" s="3">
        <v>3.97000002861023</v>
      </c>
      <c r="F167" s="3">
        <v>3.97000002861023</v>
      </c>
      <c r="G167" s="3">
        <v>0.0</v>
      </c>
      <c r="H167" s="3">
        <v>0.0</v>
      </c>
      <c r="I167" s="3">
        <v>0.0</v>
      </c>
      <c r="J167" s="3">
        <v>3.96000003814697</v>
      </c>
      <c r="K167" s="3">
        <v>0.00999999977648258</v>
      </c>
      <c r="L167" s="3">
        <v>0.0</v>
      </c>
      <c r="M167" s="3">
        <v>0.0</v>
      </c>
      <c r="N167" s="3">
        <v>254.0</v>
      </c>
      <c r="O167" s="3">
        <v>757.0</v>
      </c>
      <c r="P167" s="3">
        <v>2990.0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">
        <v>4.02033265E9</v>
      </c>
      <c r="B168" s="4">
        <v>42442.0</v>
      </c>
      <c r="C168" s="5">
        <f t="shared" si="1"/>
        <v>42442</v>
      </c>
      <c r="D168" s="3">
        <v>3226.0</v>
      </c>
      <c r="E168" s="3">
        <v>2.30999994277954</v>
      </c>
      <c r="F168" s="3">
        <v>2.30999994277954</v>
      </c>
      <c r="G168" s="3">
        <v>0.0</v>
      </c>
      <c r="H168" s="3">
        <v>0.0</v>
      </c>
      <c r="I168" s="3">
        <v>0.0</v>
      </c>
      <c r="J168" s="3">
        <v>2.27999997138977</v>
      </c>
      <c r="K168" s="3">
        <v>0.0</v>
      </c>
      <c r="L168" s="3">
        <v>0.0</v>
      </c>
      <c r="M168" s="3">
        <v>0.0</v>
      </c>
      <c r="N168" s="3">
        <v>136.0</v>
      </c>
      <c r="O168" s="3">
        <v>771.0</v>
      </c>
      <c r="P168" s="3">
        <v>2480.0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">
        <v>4.02033265E9</v>
      </c>
      <c r="B169" s="4">
        <v>42443.0</v>
      </c>
      <c r="C169" s="5">
        <f t="shared" si="1"/>
        <v>42443</v>
      </c>
      <c r="D169" s="3">
        <v>3023.0</v>
      </c>
      <c r="E169" s="3">
        <v>2.17000007629395</v>
      </c>
      <c r="F169" s="3">
        <v>2.17000007629395</v>
      </c>
      <c r="G169" s="3">
        <v>0.0</v>
      </c>
      <c r="H169" s="3">
        <v>0.0</v>
      </c>
      <c r="I169" s="3">
        <v>0.0</v>
      </c>
      <c r="J169" s="3">
        <v>2.14000010490417</v>
      </c>
      <c r="K169" s="3">
        <v>0.0</v>
      </c>
      <c r="L169" s="3">
        <v>0.0</v>
      </c>
      <c r="M169" s="3">
        <v>0.0</v>
      </c>
      <c r="N169" s="3">
        <v>145.0</v>
      </c>
      <c r="O169" s="3">
        <v>1005.0</v>
      </c>
      <c r="P169" s="3">
        <v>2570.0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">
        <v>4.02033265E9</v>
      </c>
      <c r="B170" s="4">
        <v>42444.0</v>
      </c>
      <c r="C170" s="5">
        <f t="shared" si="1"/>
        <v>42444</v>
      </c>
      <c r="D170" s="3">
        <v>5906.0</v>
      </c>
      <c r="E170" s="3">
        <v>4.23000001907349</v>
      </c>
      <c r="F170" s="3">
        <v>4.23000001907349</v>
      </c>
      <c r="G170" s="3">
        <v>0.0</v>
      </c>
      <c r="H170" s="3">
        <v>0.0</v>
      </c>
      <c r="I170" s="3">
        <v>0.159999996423721</v>
      </c>
      <c r="J170" s="3">
        <v>4.03999996185303</v>
      </c>
      <c r="K170" s="3">
        <v>0.0</v>
      </c>
      <c r="L170" s="3">
        <v>0.0</v>
      </c>
      <c r="M170" s="3">
        <v>10.0</v>
      </c>
      <c r="N170" s="3">
        <v>215.0</v>
      </c>
      <c r="O170" s="3">
        <v>874.0</v>
      </c>
      <c r="P170" s="3">
        <v>3016.0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">
        <v>4.02033265E9</v>
      </c>
      <c r="B171" s="4">
        <v>42445.0</v>
      </c>
      <c r="C171" s="5">
        <f t="shared" si="1"/>
        <v>42445</v>
      </c>
      <c r="D171" s="3">
        <v>12483.0</v>
      </c>
      <c r="E171" s="3">
        <v>8.98999977111816</v>
      </c>
      <c r="F171" s="3">
        <v>8.98999977111816</v>
      </c>
      <c r="G171" s="3">
        <v>0.0</v>
      </c>
      <c r="H171" s="3">
        <v>1.45000004768372</v>
      </c>
      <c r="I171" s="3">
        <v>0.569999992847443</v>
      </c>
      <c r="J171" s="3">
        <v>6.90000009536743</v>
      </c>
      <c r="K171" s="3">
        <v>0.0</v>
      </c>
      <c r="L171" s="3">
        <v>25.0</v>
      </c>
      <c r="M171" s="3">
        <v>14.0</v>
      </c>
      <c r="N171" s="3">
        <v>309.0</v>
      </c>
      <c r="O171" s="3">
        <v>599.0</v>
      </c>
      <c r="P171" s="3">
        <v>3830.0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">
        <v>4.02033265E9</v>
      </c>
      <c r="B172" s="4">
        <v>42446.0</v>
      </c>
      <c r="C172" s="5">
        <f t="shared" si="1"/>
        <v>42446</v>
      </c>
      <c r="D172" s="3">
        <v>8940.0</v>
      </c>
      <c r="E172" s="3">
        <v>6.40999984741211</v>
      </c>
      <c r="F172" s="3">
        <v>6.40999984741211</v>
      </c>
      <c r="G172" s="3">
        <v>0.0</v>
      </c>
      <c r="H172" s="3">
        <v>0.0</v>
      </c>
      <c r="I172" s="3">
        <v>0.0</v>
      </c>
      <c r="J172" s="3">
        <v>0.610000014305115</v>
      </c>
      <c r="K172" s="3">
        <v>0.0399999991059303</v>
      </c>
      <c r="L172" s="3">
        <v>0.0</v>
      </c>
      <c r="M172" s="3">
        <v>0.0</v>
      </c>
      <c r="N172" s="3">
        <v>47.0</v>
      </c>
      <c r="O172" s="3">
        <v>986.0</v>
      </c>
      <c r="P172" s="3">
        <v>3706.0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">
        <v>4.02033265E9</v>
      </c>
      <c r="B173" s="4">
        <v>42447.0</v>
      </c>
      <c r="C173" s="5">
        <f t="shared" si="1"/>
        <v>42447</v>
      </c>
      <c r="D173" s="3">
        <v>368.0</v>
      </c>
      <c r="E173" s="3">
        <v>0.259999990463257</v>
      </c>
      <c r="F173" s="3">
        <v>0.259999990463257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1440.0</v>
      </c>
      <c r="P173" s="3">
        <v>2024.0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">
        <v>4.02033265E9</v>
      </c>
      <c r="B174" s="4">
        <v>42448.0</v>
      </c>
      <c r="C174" s="5">
        <f t="shared" si="1"/>
        <v>42448</v>
      </c>
      <c r="D174" s="3">
        <v>5702.0</v>
      </c>
      <c r="E174" s="3">
        <v>4.09000015258789</v>
      </c>
      <c r="F174" s="3">
        <v>4.09000015258789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1440.0</v>
      </c>
      <c r="P174" s="3">
        <v>2980.0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">
        <v>4.02033265E9</v>
      </c>
      <c r="B175" s="4">
        <v>42449.0</v>
      </c>
      <c r="C175" s="5">
        <f t="shared" si="1"/>
        <v>42449</v>
      </c>
      <c r="D175" s="3">
        <v>10330.0</v>
      </c>
      <c r="E175" s="3">
        <v>7.40999984741211</v>
      </c>
      <c r="F175" s="3">
        <v>7.40999984741211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1440.0</v>
      </c>
      <c r="P175" s="3">
        <v>3728.0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">
        <v>4.02033265E9</v>
      </c>
      <c r="B176" s="4">
        <v>42450.0</v>
      </c>
      <c r="C176" s="5">
        <f t="shared" si="1"/>
        <v>42450</v>
      </c>
      <c r="D176" s="3">
        <v>8778.0</v>
      </c>
      <c r="E176" s="3">
        <v>6.28999996185303</v>
      </c>
      <c r="F176" s="3">
        <v>6.28999996185303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1440.0</v>
      </c>
      <c r="P176" s="3">
        <v>3348.0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">
        <v>4.02033265E9</v>
      </c>
      <c r="B177" s="4">
        <v>42451.0</v>
      </c>
      <c r="C177" s="5">
        <f t="shared" si="1"/>
        <v>42451</v>
      </c>
      <c r="D177" s="3">
        <v>6662.0</v>
      </c>
      <c r="E177" s="3">
        <v>4.78000020980835</v>
      </c>
      <c r="F177" s="3">
        <v>4.78000020980835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1440.0</v>
      </c>
      <c r="P177" s="3">
        <v>3162.0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">
        <v>4.02033265E9</v>
      </c>
      <c r="B178" s="4">
        <v>42452.0</v>
      </c>
      <c r="C178" s="5">
        <f t="shared" si="1"/>
        <v>42452</v>
      </c>
      <c r="D178" s="3">
        <v>6309.0</v>
      </c>
      <c r="E178" s="3">
        <v>4.51999998092651</v>
      </c>
      <c r="F178" s="3">
        <v>4.51999998092651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1440.0</v>
      </c>
      <c r="P178" s="3">
        <v>3140.0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">
        <v>4.02033265E9</v>
      </c>
      <c r="B179" s="4">
        <v>42453.0</v>
      </c>
      <c r="C179" s="5">
        <f t="shared" si="1"/>
        <v>42453</v>
      </c>
      <c r="D179" s="3">
        <v>1951.0</v>
      </c>
      <c r="E179" s="3">
        <v>1.4099999666214</v>
      </c>
      <c r="F179" s="3">
        <v>1.4099999666214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1440.0</v>
      </c>
      <c r="P179" s="3">
        <v>1980.0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">
        <v>4.02033265E9</v>
      </c>
      <c r="B180" s="4">
        <v>42454.0</v>
      </c>
      <c r="C180" s="5">
        <f t="shared" si="1"/>
        <v>42454</v>
      </c>
      <c r="D180" s="3">
        <v>5563.0</v>
      </c>
      <c r="E180" s="3">
        <v>3.99000000953674</v>
      </c>
      <c r="F180" s="3">
        <v>3.99000000953674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1440.0</v>
      </c>
      <c r="P180" s="3">
        <v>3681.0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">
        <v>4.02033265E9</v>
      </c>
      <c r="B181" s="4">
        <v>42455.0</v>
      </c>
      <c r="C181" s="5">
        <f t="shared" si="1"/>
        <v>42455</v>
      </c>
      <c r="D181" s="3">
        <v>4370.0</v>
      </c>
      <c r="E181" s="3">
        <v>3.13000011444092</v>
      </c>
      <c r="F181" s="3">
        <v>3.13000011444092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1440.0</v>
      </c>
      <c r="P181" s="3">
        <v>3444.0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">
        <v>4.02033265E9</v>
      </c>
      <c r="B182" s="4">
        <v>42456.0</v>
      </c>
      <c r="C182" s="5">
        <f t="shared" si="1"/>
        <v>42456</v>
      </c>
      <c r="D182" s="3">
        <v>7144.0</v>
      </c>
      <c r="E182" s="3">
        <v>5.11999988555908</v>
      </c>
      <c r="F182" s="3">
        <v>5.11999988555908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1440.0</v>
      </c>
      <c r="P182" s="3">
        <v>3510.0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">
        <v>4.02033265E9</v>
      </c>
      <c r="B183" s="4">
        <v>42457.0</v>
      </c>
      <c r="C183" s="5">
        <f t="shared" si="1"/>
        <v>42457</v>
      </c>
      <c r="D183" s="3">
        <v>2106.0</v>
      </c>
      <c r="E183" s="3">
        <v>1.50999999046326</v>
      </c>
      <c r="F183" s="3">
        <v>1.50999999046326</v>
      </c>
      <c r="G183" s="3">
        <v>0.0</v>
      </c>
      <c r="H183" s="3">
        <v>0.0199999995529652</v>
      </c>
      <c r="I183" s="3">
        <v>0.0500000007450581</v>
      </c>
      <c r="J183" s="3">
        <v>0.209999993443489</v>
      </c>
      <c r="K183" s="3">
        <v>0.0</v>
      </c>
      <c r="L183" s="3">
        <v>31.0</v>
      </c>
      <c r="M183" s="3">
        <v>45.0</v>
      </c>
      <c r="N183" s="3">
        <v>75.0</v>
      </c>
      <c r="O183" s="3">
        <v>1289.0</v>
      </c>
      <c r="P183" s="3">
        <v>4010.0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">
        <v>4.02033265E9</v>
      </c>
      <c r="B184" s="4">
        <v>42458.0</v>
      </c>
      <c r="C184" s="5">
        <f t="shared" si="1"/>
        <v>42458</v>
      </c>
      <c r="D184" s="3">
        <v>4152.0</v>
      </c>
      <c r="E184" s="3">
        <v>2.98000001907349</v>
      </c>
      <c r="F184" s="3">
        <v>2.98000001907349</v>
      </c>
      <c r="G184" s="3">
        <v>0.0</v>
      </c>
      <c r="H184" s="3">
        <v>0.0</v>
      </c>
      <c r="I184" s="3">
        <v>0.0</v>
      </c>
      <c r="J184" s="3">
        <v>2.96000003814697</v>
      </c>
      <c r="K184" s="3">
        <v>0.0</v>
      </c>
      <c r="L184" s="3">
        <v>0.0</v>
      </c>
      <c r="M184" s="3">
        <v>0.0</v>
      </c>
      <c r="N184" s="3">
        <v>187.0</v>
      </c>
      <c r="O184" s="3">
        <v>1253.0</v>
      </c>
      <c r="P184" s="3">
        <v>2976.0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">
        <v>4.02033265E9</v>
      </c>
      <c r="B185" s="4">
        <v>42459.0</v>
      </c>
      <c r="C185" s="5">
        <f t="shared" si="1"/>
        <v>42459</v>
      </c>
      <c r="D185" s="3">
        <v>5400.0</v>
      </c>
      <c r="E185" s="3">
        <v>3.86999988555908</v>
      </c>
      <c r="F185" s="3">
        <v>3.86999988555908</v>
      </c>
      <c r="G185" s="3">
        <v>0.0</v>
      </c>
      <c r="H185" s="3">
        <v>0.0</v>
      </c>
      <c r="I185" s="3">
        <v>0.0</v>
      </c>
      <c r="J185" s="3">
        <v>3.84999990463257</v>
      </c>
      <c r="K185" s="3">
        <v>0.0</v>
      </c>
      <c r="L185" s="3">
        <v>0.0</v>
      </c>
      <c r="M185" s="3">
        <v>0.0</v>
      </c>
      <c r="N185" s="3">
        <v>258.0</v>
      </c>
      <c r="O185" s="3">
        <v>795.0</v>
      </c>
      <c r="P185" s="3">
        <v>3418.0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">
        <v>4.02033265E9</v>
      </c>
      <c r="B186" s="4">
        <v>42460.0</v>
      </c>
      <c r="C186" s="5">
        <f t="shared" si="1"/>
        <v>42460</v>
      </c>
      <c r="D186" s="3">
        <v>7428.0</v>
      </c>
      <c r="E186" s="3">
        <v>5.32999992370605</v>
      </c>
      <c r="F186" s="3">
        <v>5.32999992370605</v>
      </c>
      <c r="G186" s="3">
        <v>0.0</v>
      </c>
      <c r="H186" s="3">
        <v>0.870000004768372</v>
      </c>
      <c r="I186" s="3">
        <v>0.920000016689301</v>
      </c>
      <c r="J186" s="3">
        <v>3.50999999046326</v>
      </c>
      <c r="K186" s="3">
        <v>0.0</v>
      </c>
      <c r="L186" s="3">
        <v>18.0</v>
      </c>
      <c r="M186" s="3">
        <v>33.0</v>
      </c>
      <c r="N186" s="3">
        <v>261.0</v>
      </c>
      <c r="O186" s="3">
        <v>860.0</v>
      </c>
      <c r="P186" s="3">
        <v>3439.0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">
        <v>4.02033265E9</v>
      </c>
      <c r="B187" s="4">
        <v>42461.0</v>
      </c>
      <c r="C187" s="5">
        <f t="shared" si="1"/>
        <v>42461</v>
      </c>
      <c r="D187" s="3">
        <v>5351.0</v>
      </c>
      <c r="E187" s="3">
        <v>3.83999991416931</v>
      </c>
      <c r="F187" s="3">
        <v>3.83999991416931</v>
      </c>
      <c r="G187" s="3">
        <v>0.0</v>
      </c>
      <c r="H187" s="3">
        <v>0.620000004768372</v>
      </c>
      <c r="I187" s="3">
        <v>0.180000007152557</v>
      </c>
      <c r="J187" s="3">
        <v>3.00999999046326</v>
      </c>
      <c r="K187" s="3">
        <v>0.0</v>
      </c>
      <c r="L187" s="3">
        <v>15.0</v>
      </c>
      <c r="M187" s="3">
        <v>17.0</v>
      </c>
      <c r="N187" s="3">
        <v>210.0</v>
      </c>
      <c r="O187" s="3">
        <v>748.0</v>
      </c>
      <c r="P187" s="3">
        <v>3338.0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">
        <v>4.02033265E9</v>
      </c>
      <c r="B188" s="4">
        <v>42462.0</v>
      </c>
      <c r="C188" s="5">
        <f t="shared" si="1"/>
        <v>42462</v>
      </c>
      <c r="D188" s="3">
        <v>4299.0</v>
      </c>
      <c r="E188" s="3">
        <v>3.09999990463257</v>
      </c>
      <c r="F188" s="3">
        <v>3.09999990463257</v>
      </c>
      <c r="G188" s="3">
        <v>0.0</v>
      </c>
      <c r="H188" s="3">
        <v>0.0900000035762787</v>
      </c>
      <c r="I188" s="3">
        <v>0.209999993443489</v>
      </c>
      <c r="J188" s="3">
        <v>2.74000000953674</v>
      </c>
      <c r="K188" s="3">
        <v>0.0399999991059303</v>
      </c>
      <c r="L188" s="3">
        <v>3.0</v>
      </c>
      <c r="M188" s="3">
        <v>15.0</v>
      </c>
      <c r="N188" s="3">
        <v>162.0</v>
      </c>
      <c r="O188" s="3">
        <v>752.0</v>
      </c>
      <c r="P188" s="3">
        <v>2892.0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">
        <v>4.02033265E9</v>
      </c>
      <c r="B189" s="4">
        <v>42463.0</v>
      </c>
      <c r="C189" s="5">
        <f t="shared" si="1"/>
        <v>42463</v>
      </c>
      <c r="D189" s="3">
        <v>6107.0</v>
      </c>
      <c r="E189" s="3">
        <v>4.38000011444092</v>
      </c>
      <c r="F189" s="3">
        <v>4.38000011444092</v>
      </c>
      <c r="G189" s="3">
        <v>0.0</v>
      </c>
      <c r="H189" s="3">
        <v>0.0</v>
      </c>
      <c r="I189" s="3">
        <v>0.0</v>
      </c>
      <c r="J189" s="3">
        <v>4.3600001335144</v>
      </c>
      <c r="K189" s="3">
        <v>0.0</v>
      </c>
      <c r="L189" s="3">
        <v>0.0</v>
      </c>
      <c r="M189" s="3">
        <v>0.0</v>
      </c>
      <c r="N189" s="3">
        <v>265.0</v>
      </c>
      <c r="O189" s="3">
        <v>776.0</v>
      </c>
      <c r="P189" s="3">
        <v>3313.0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">
        <v>4.02033265E9</v>
      </c>
      <c r="B190" s="4">
        <v>42464.0</v>
      </c>
      <c r="C190" s="5">
        <f t="shared" si="1"/>
        <v>42464</v>
      </c>
      <c r="D190" s="3">
        <v>6429.0</v>
      </c>
      <c r="E190" s="3">
        <v>4.59999990463257</v>
      </c>
      <c r="F190" s="3">
        <v>4.59999990463257</v>
      </c>
      <c r="G190" s="3">
        <v>0.0</v>
      </c>
      <c r="H190" s="3">
        <v>0.0</v>
      </c>
      <c r="I190" s="3">
        <v>0.949999988079071</v>
      </c>
      <c r="J190" s="3">
        <v>3.65000009536743</v>
      </c>
      <c r="K190" s="3">
        <v>0.0</v>
      </c>
      <c r="L190" s="3">
        <v>0.0</v>
      </c>
      <c r="M190" s="3">
        <v>28.0</v>
      </c>
      <c r="N190" s="3">
        <v>193.0</v>
      </c>
      <c r="O190" s="3">
        <v>741.0</v>
      </c>
      <c r="P190" s="3">
        <v>3118.0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">
        <v>4.02033265E9</v>
      </c>
      <c r="B191" s="4">
        <v>42465.0</v>
      </c>
      <c r="C191" s="5">
        <f t="shared" si="1"/>
        <v>42465</v>
      </c>
      <c r="D191" s="3">
        <v>6880.0</v>
      </c>
      <c r="E191" s="3">
        <v>4.92999982833862</v>
      </c>
      <c r="F191" s="3">
        <v>4.92999982833862</v>
      </c>
      <c r="G191" s="3">
        <v>0.0</v>
      </c>
      <c r="H191" s="3">
        <v>0.5</v>
      </c>
      <c r="I191" s="3">
        <v>0.759999990463257</v>
      </c>
      <c r="J191" s="3">
        <v>3.65000009536743</v>
      </c>
      <c r="K191" s="3">
        <v>0.0</v>
      </c>
      <c r="L191" s="3">
        <v>7.0</v>
      </c>
      <c r="M191" s="3">
        <v>19.0</v>
      </c>
      <c r="N191" s="3">
        <v>165.0</v>
      </c>
      <c r="O191" s="3">
        <v>1249.0</v>
      </c>
      <c r="P191" s="3">
        <v>2966.0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">
        <v>4.02033265E9</v>
      </c>
      <c r="B192" s="4">
        <v>42466.0</v>
      </c>
      <c r="C192" s="5">
        <f t="shared" si="1"/>
        <v>42466</v>
      </c>
      <c r="D192" s="3">
        <v>7476.0</v>
      </c>
      <c r="E192" s="3">
        <v>5.3600001335144</v>
      </c>
      <c r="F192" s="3">
        <v>5.3600001335144</v>
      </c>
      <c r="G192" s="3">
        <v>0.0</v>
      </c>
      <c r="H192" s="3">
        <v>0.0</v>
      </c>
      <c r="I192" s="3">
        <v>0.0</v>
      </c>
      <c r="J192" s="3">
        <v>5.30999994277954</v>
      </c>
      <c r="K192" s="3">
        <v>0.0</v>
      </c>
      <c r="L192" s="3">
        <v>0.0</v>
      </c>
      <c r="M192" s="3">
        <v>0.0</v>
      </c>
      <c r="N192" s="3">
        <v>263.0</v>
      </c>
      <c r="O192" s="3">
        <v>920.0</v>
      </c>
      <c r="P192" s="3">
        <v>3253.0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">
        <v>4.02033265E9</v>
      </c>
      <c r="B193" s="4">
        <v>42467.0</v>
      </c>
      <c r="C193" s="5">
        <f t="shared" si="1"/>
        <v>42467</v>
      </c>
      <c r="D193" s="3">
        <v>6581.0</v>
      </c>
      <c r="E193" s="3">
        <v>4.71999979019165</v>
      </c>
      <c r="F193" s="3">
        <v>4.71999979019165</v>
      </c>
      <c r="G193" s="3">
        <v>0.0</v>
      </c>
      <c r="H193" s="3">
        <v>0.0</v>
      </c>
      <c r="I193" s="3">
        <v>0.28999999165535</v>
      </c>
      <c r="J193" s="3">
        <v>4.3899998664856</v>
      </c>
      <c r="K193" s="3">
        <v>0.0</v>
      </c>
      <c r="L193" s="3">
        <v>0.0</v>
      </c>
      <c r="M193" s="3">
        <v>8.0</v>
      </c>
      <c r="N193" s="3">
        <v>241.0</v>
      </c>
      <c r="O193" s="3">
        <v>1191.0</v>
      </c>
      <c r="P193" s="3">
        <v>3032.0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">
        <v>4.02033265E9</v>
      </c>
      <c r="B194" s="4">
        <v>42468.0</v>
      </c>
      <c r="C194" s="5">
        <f t="shared" si="1"/>
        <v>42468</v>
      </c>
      <c r="D194" s="3">
        <v>10480.0</v>
      </c>
      <c r="E194" s="3">
        <v>7.51000022888184</v>
      </c>
      <c r="F194" s="3">
        <v>7.51000022888184</v>
      </c>
      <c r="G194" s="3">
        <v>0.0</v>
      </c>
      <c r="H194" s="3">
        <v>0.409999996423721</v>
      </c>
      <c r="I194" s="3">
        <v>1.47000002861023</v>
      </c>
      <c r="J194" s="3">
        <v>5.01000022888184</v>
      </c>
      <c r="K194" s="3">
        <v>0.0399999991059303</v>
      </c>
      <c r="L194" s="3">
        <v>6.0</v>
      </c>
      <c r="M194" s="3">
        <v>37.0</v>
      </c>
      <c r="N194" s="3">
        <v>272.0</v>
      </c>
      <c r="O194" s="3">
        <v>1125.0</v>
      </c>
      <c r="P194" s="3">
        <v>4034.0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">
        <v>4.02033265E9</v>
      </c>
      <c r="B195" s="4">
        <v>42469.0</v>
      </c>
      <c r="C195" s="5">
        <f t="shared" si="1"/>
        <v>42469</v>
      </c>
      <c r="D195" s="3">
        <v>7734.0</v>
      </c>
      <c r="E195" s="3">
        <v>5.55000019073486</v>
      </c>
      <c r="F195" s="3">
        <v>5.55000019073486</v>
      </c>
      <c r="G195" s="3">
        <v>0.0</v>
      </c>
      <c r="H195" s="3">
        <v>1.1599999666214</v>
      </c>
      <c r="I195" s="3">
        <v>0.490000009536743</v>
      </c>
      <c r="J195" s="3">
        <v>3.8199999332428</v>
      </c>
      <c r="K195" s="3">
        <v>0.0599999986588955</v>
      </c>
      <c r="L195" s="3">
        <v>20.0</v>
      </c>
      <c r="M195" s="3">
        <v>12.0</v>
      </c>
      <c r="N195" s="3">
        <v>223.0</v>
      </c>
      <c r="O195" s="3">
        <v>1185.0</v>
      </c>
      <c r="P195" s="3">
        <v>3264.0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">
        <v>4.02033265E9</v>
      </c>
      <c r="B196" s="4">
        <v>42470.0</v>
      </c>
      <c r="C196" s="5">
        <f t="shared" si="1"/>
        <v>42470</v>
      </c>
      <c r="D196" s="3">
        <v>5129.0</v>
      </c>
      <c r="E196" s="3">
        <v>3.6800000667572</v>
      </c>
      <c r="F196" s="3">
        <v>3.6800000667572</v>
      </c>
      <c r="G196" s="3">
        <v>0.0</v>
      </c>
      <c r="H196" s="3">
        <v>0.180000007152557</v>
      </c>
      <c r="I196" s="3">
        <v>0.239999994635582</v>
      </c>
      <c r="J196" s="3">
        <v>3.21000003814697</v>
      </c>
      <c r="K196" s="3">
        <v>0.00999999977648258</v>
      </c>
      <c r="L196" s="3">
        <v>5.0</v>
      </c>
      <c r="M196" s="3">
        <v>7.0</v>
      </c>
      <c r="N196" s="3">
        <v>176.0</v>
      </c>
      <c r="O196" s="3">
        <v>1178.0</v>
      </c>
      <c r="P196" s="3">
        <v>2817.0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">
        <v>4.02033265E9</v>
      </c>
      <c r="B197" s="4">
        <v>42471.0</v>
      </c>
      <c r="C197" s="5">
        <f t="shared" si="1"/>
        <v>42471</v>
      </c>
      <c r="D197" s="3">
        <v>2993.0</v>
      </c>
      <c r="E197" s="3">
        <v>2.15000009536743</v>
      </c>
      <c r="F197" s="3">
        <v>2.15000009536743</v>
      </c>
      <c r="G197" s="3">
        <v>0.0</v>
      </c>
      <c r="H197" s="3">
        <v>0.0</v>
      </c>
      <c r="I197" s="3">
        <v>0.0</v>
      </c>
      <c r="J197" s="3">
        <v>2.08999991416931</v>
      </c>
      <c r="K197" s="3">
        <v>0.0</v>
      </c>
      <c r="L197" s="3">
        <v>0.0</v>
      </c>
      <c r="M197" s="3">
        <v>0.0</v>
      </c>
      <c r="N197" s="3">
        <v>114.0</v>
      </c>
      <c r="O197" s="3">
        <v>888.0</v>
      </c>
      <c r="P197" s="3">
        <v>2507.0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">
        <v>4.02033265E9</v>
      </c>
      <c r="B198" s="4">
        <v>42472.0</v>
      </c>
      <c r="C198" s="5">
        <f t="shared" si="1"/>
        <v>42472</v>
      </c>
      <c r="D198" s="3">
        <v>8.0</v>
      </c>
      <c r="E198" s="3">
        <v>0.00999999977648258</v>
      </c>
      <c r="F198" s="3">
        <v>0.00999999977648258</v>
      </c>
      <c r="G198" s="3">
        <v>0.0</v>
      </c>
      <c r="H198" s="3">
        <v>0.0</v>
      </c>
      <c r="I198" s="3">
        <v>0.0</v>
      </c>
      <c r="J198" s="3">
        <v>0.00999999977648258</v>
      </c>
      <c r="K198" s="3">
        <v>0.0</v>
      </c>
      <c r="L198" s="3">
        <v>0.0</v>
      </c>
      <c r="M198" s="3">
        <v>0.0</v>
      </c>
      <c r="N198" s="3">
        <v>1.0</v>
      </c>
      <c r="O198" s="3">
        <v>321.0</v>
      </c>
      <c r="P198" s="3">
        <v>446.0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">
        <v>4.057192912E9</v>
      </c>
      <c r="B199" s="4">
        <v>42441.0</v>
      </c>
      <c r="C199" s="5">
        <f t="shared" si="1"/>
        <v>42441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1440.0</v>
      </c>
      <c r="P199" s="3">
        <v>1777.0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">
        <v>4.057192912E9</v>
      </c>
      <c r="B200" s="4">
        <v>42442.0</v>
      </c>
      <c r="C200" s="5">
        <f t="shared" si="1"/>
        <v>42442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1440.0</v>
      </c>
      <c r="P200" s="3">
        <v>1777.0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">
        <v>4.057192912E9</v>
      </c>
      <c r="B201" s="4">
        <v>42443.0</v>
      </c>
      <c r="C201" s="5">
        <f t="shared" si="1"/>
        <v>42443</v>
      </c>
      <c r="D201" s="3">
        <v>8433.0</v>
      </c>
      <c r="E201" s="3">
        <v>6.23000001907349</v>
      </c>
      <c r="F201" s="3">
        <v>6.23000001907349</v>
      </c>
      <c r="G201" s="3">
        <v>0.0</v>
      </c>
      <c r="H201" s="3">
        <v>2.45000004768372</v>
      </c>
      <c r="I201" s="3">
        <v>0.330000013113022</v>
      </c>
      <c r="J201" s="3">
        <v>3.44000005722046</v>
      </c>
      <c r="K201" s="3">
        <v>0.0</v>
      </c>
      <c r="L201" s="3">
        <v>30.0</v>
      </c>
      <c r="M201" s="3">
        <v>7.0</v>
      </c>
      <c r="N201" s="3">
        <v>135.0</v>
      </c>
      <c r="O201" s="3">
        <v>1268.0</v>
      </c>
      <c r="P201" s="3">
        <v>2453.0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">
        <v>4.057192912E9</v>
      </c>
      <c r="B202" s="4">
        <v>42444.0</v>
      </c>
      <c r="C202" s="5">
        <f t="shared" si="1"/>
        <v>42444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1440.0</v>
      </c>
      <c r="P202" s="3">
        <v>1776.0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">
        <v>4.057192912E9</v>
      </c>
      <c r="B203" s="4">
        <v>42445.0</v>
      </c>
      <c r="C203" s="5">
        <f t="shared" si="1"/>
        <v>42445</v>
      </c>
      <c r="D203" s="3">
        <v>2139.0</v>
      </c>
      <c r="E203" s="3">
        <v>1.55999994277954</v>
      </c>
      <c r="F203" s="3">
        <v>1.55999994277954</v>
      </c>
      <c r="G203" s="3">
        <v>0.0</v>
      </c>
      <c r="H203" s="3">
        <v>0.0</v>
      </c>
      <c r="I203" s="3">
        <v>1.29999995231628</v>
      </c>
      <c r="J203" s="3">
        <v>0.259999990463257</v>
      </c>
      <c r="K203" s="3">
        <v>0.0</v>
      </c>
      <c r="L203" s="3">
        <v>0.0</v>
      </c>
      <c r="M203" s="3">
        <v>28.0</v>
      </c>
      <c r="N203" s="3">
        <v>15.0</v>
      </c>
      <c r="O203" s="3">
        <v>1397.0</v>
      </c>
      <c r="P203" s="3">
        <v>1935.0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">
        <v>4.057192912E9</v>
      </c>
      <c r="B204" s="4">
        <v>42446.0</v>
      </c>
      <c r="C204" s="5">
        <f t="shared" si="1"/>
        <v>42446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1440.0</v>
      </c>
      <c r="P204" s="3">
        <v>1776.0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">
        <v>4.057192912E9</v>
      </c>
      <c r="B205" s="4">
        <v>42447.0</v>
      </c>
      <c r="C205" s="5">
        <f t="shared" si="1"/>
        <v>42447</v>
      </c>
      <c r="D205" s="3">
        <v>949.0</v>
      </c>
      <c r="E205" s="3">
        <v>0.689999997615814</v>
      </c>
      <c r="F205" s="3">
        <v>0.689999997615814</v>
      </c>
      <c r="G205" s="3">
        <v>0.0</v>
      </c>
      <c r="H205" s="3">
        <v>0.0</v>
      </c>
      <c r="I205" s="3">
        <v>0.0</v>
      </c>
      <c r="J205" s="3">
        <v>0.689999997615814</v>
      </c>
      <c r="K205" s="3">
        <v>0.0</v>
      </c>
      <c r="L205" s="3">
        <v>0.0</v>
      </c>
      <c r="M205" s="3">
        <v>0.0</v>
      </c>
      <c r="N205" s="3">
        <v>34.0</v>
      </c>
      <c r="O205" s="3">
        <v>1406.0</v>
      </c>
      <c r="P205" s="3">
        <v>1870.0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">
        <v>4.057192912E9</v>
      </c>
      <c r="B206" s="4">
        <v>42448.0</v>
      </c>
      <c r="C206" s="5">
        <f t="shared" si="1"/>
        <v>42448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1440.0</v>
      </c>
      <c r="P206" s="3">
        <v>1777.0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">
        <v>4.057192912E9</v>
      </c>
      <c r="B207" s="4">
        <v>42449.0</v>
      </c>
      <c r="C207" s="5">
        <f t="shared" si="1"/>
        <v>42449</v>
      </c>
      <c r="D207" s="3">
        <v>44.0</v>
      </c>
      <c r="E207" s="3">
        <v>0.0299999993294477</v>
      </c>
      <c r="F207" s="3">
        <v>0.0299999993294477</v>
      </c>
      <c r="G207" s="3">
        <v>0.0</v>
      </c>
      <c r="H207" s="3">
        <v>0.0</v>
      </c>
      <c r="I207" s="3">
        <v>0.0</v>
      </c>
      <c r="J207" s="3">
        <v>0.0299999993294477</v>
      </c>
      <c r="K207" s="3">
        <v>0.0</v>
      </c>
      <c r="L207" s="3">
        <v>0.0</v>
      </c>
      <c r="M207" s="3">
        <v>0.0</v>
      </c>
      <c r="N207" s="3">
        <v>2.0</v>
      </c>
      <c r="O207" s="3">
        <v>1438.0</v>
      </c>
      <c r="P207" s="3">
        <v>1782.0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">
        <v>4.057192912E9</v>
      </c>
      <c r="B208" s="4">
        <v>42450.0</v>
      </c>
      <c r="C208" s="5">
        <f t="shared" si="1"/>
        <v>42450</v>
      </c>
      <c r="D208" s="3">
        <v>2660.0</v>
      </c>
      <c r="E208" s="3">
        <v>1.94000005722046</v>
      </c>
      <c r="F208" s="3">
        <v>1.94000005722046</v>
      </c>
      <c r="G208" s="3">
        <v>0.0</v>
      </c>
      <c r="H208" s="3">
        <v>0.0</v>
      </c>
      <c r="I208" s="3">
        <v>0.0</v>
      </c>
      <c r="J208" s="3">
        <v>1.94000005722046</v>
      </c>
      <c r="K208" s="3">
        <v>0.0</v>
      </c>
      <c r="L208" s="3">
        <v>0.0</v>
      </c>
      <c r="M208" s="3">
        <v>0.0</v>
      </c>
      <c r="N208" s="3">
        <v>46.0</v>
      </c>
      <c r="O208" s="3">
        <v>1394.0</v>
      </c>
      <c r="P208" s="3">
        <v>1978.0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">
        <v>4.057192912E9</v>
      </c>
      <c r="B209" s="4">
        <v>42451.0</v>
      </c>
      <c r="C209" s="5">
        <f t="shared" si="1"/>
        <v>42451</v>
      </c>
      <c r="D209" s="3">
        <v>5561.0</v>
      </c>
      <c r="E209" s="3">
        <v>4.19000005722046</v>
      </c>
      <c r="F209" s="3">
        <v>4.19000005722046</v>
      </c>
      <c r="G209" s="3">
        <v>0.0</v>
      </c>
      <c r="H209" s="3">
        <v>0.0</v>
      </c>
      <c r="I209" s="3">
        <v>0.0</v>
      </c>
      <c r="J209" s="3">
        <v>4.07000017166138</v>
      </c>
      <c r="K209" s="3">
        <v>0.0</v>
      </c>
      <c r="L209" s="3">
        <v>0.0</v>
      </c>
      <c r="M209" s="3">
        <v>0.0</v>
      </c>
      <c r="N209" s="3">
        <v>169.0</v>
      </c>
      <c r="O209" s="3">
        <v>1271.0</v>
      </c>
      <c r="P209" s="3">
        <v>2296.0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">
        <v>4.057192912E9</v>
      </c>
      <c r="B210" s="4">
        <v>42452.0</v>
      </c>
      <c r="C210" s="5">
        <f t="shared" si="1"/>
        <v>42452</v>
      </c>
      <c r="D210" s="3">
        <v>7239.0</v>
      </c>
      <c r="E210" s="3">
        <v>5.34000015258789</v>
      </c>
      <c r="F210" s="3">
        <v>5.34000015258789</v>
      </c>
      <c r="G210" s="3">
        <v>0.0</v>
      </c>
      <c r="H210" s="3">
        <v>0.550000011920929</v>
      </c>
      <c r="I210" s="3">
        <v>0.360000014305115</v>
      </c>
      <c r="J210" s="3">
        <v>4.38000011444092</v>
      </c>
      <c r="K210" s="3">
        <v>0.0</v>
      </c>
      <c r="L210" s="3">
        <v>7.0</v>
      </c>
      <c r="M210" s="3">
        <v>7.0</v>
      </c>
      <c r="N210" s="3">
        <v>190.0</v>
      </c>
      <c r="O210" s="3">
        <v>1236.0</v>
      </c>
      <c r="P210" s="3">
        <v>2484.0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">
        <v>4.057192912E9</v>
      </c>
      <c r="B211" s="4">
        <v>42453.0</v>
      </c>
      <c r="C211" s="5">
        <f t="shared" si="1"/>
        <v>42453</v>
      </c>
      <c r="D211" s="3">
        <v>7.0</v>
      </c>
      <c r="E211" s="3">
        <v>0.00999999977648258</v>
      </c>
      <c r="F211" s="3">
        <v>0.00999999977648258</v>
      </c>
      <c r="G211" s="3">
        <v>0.0</v>
      </c>
      <c r="H211" s="3">
        <v>0.0</v>
      </c>
      <c r="I211" s="3">
        <v>0.0</v>
      </c>
      <c r="J211" s="3">
        <v>0.00999999977648258</v>
      </c>
      <c r="K211" s="3">
        <v>0.0</v>
      </c>
      <c r="L211" s="3">
        <v>0.0</v>
      </c>
      <c r="M211" s="3">
        <v>0.0</v>
      </c>
      <c r="N211" s="3">
        <v>1.0</v>
      </c>
      <c r="O211" s="3">
        <v>1439.0</v>
      </c>
      <c r="P211" s="3">
        <v>1787.0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">
        <v>4.057192912E9</v>
      </c>
      <c r="B212" s="4">
        <v>42454.0</v>
      </c>
      <c r="C212" s="5">
        <f t="shared" si="1"/>
        <v>42454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1440.0</v>
      </c>
      <c r="P212" s="3">
        <v>1776.0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">
        <v>4.057192912E9</v>
      </c>
      <c r="B213" s="4">
        <v>42455.0</v>
      </c>
      <c r="C213" s="5">
        <f t="shared" si="1"/>
        <v>42455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1440.0</v>
      </c>
      <c r="P213" s="3">
        <v>1776.0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">
        <v>4.057192912E9</v>
      </c>
      <c r="B214" s="4">
        <v>42456.0</v>
      </c>
      <c r="C214" s="5">
        <f t="shared" si="1"/>
        <v>42456</v>
      </c>
      <c r="D214" s="3">
        <v>2275.0</v>
      </c>
      <c r="E214" s="3">
        <v>1.67999994754791</v>
      </c>
      <c r="F214" s="3">
        <v>1.67999994754791</v>
      </c>
      <c r="G214" s="3">
        <v>0.0</v>
      </c>
      <c r="H214" s="3">
        <v>0.0</v>
      </c>
      <c r="I214" s="3">
        <v>0.0</v>
      </c>
      <c r="J214" s="3">
        <v>1.6599999666214</v>
      </c>
      <c r="K214" s="3">
        <v>0.0</v>
      </c>
      <c r="L214" s="3">
        <v>0.0</v>
      </c>
      <c r="M214" s="3">
        <v>0.0</v>
      </c>
      <c r="N214" s="3">
        <v>86.0</v>
      </c>
      <c r="O214" s="3">
        <v>1354.0</v>
      </c>
      <c r="P214" s="3">
        <v>2005.0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">
        <v>4.057192912E9</v>
      </c>
      <c r="B215" s="4">
        <v>42457.0</v>
      </c>
      <c r="C215" s="5">
        <f t="shared" si="1"/>
        <v>42457</v>
      </c>
      <c r="D215" s="3">
        <v>8.0</v>
      </c>
      <c r="E215" s="3">
        <v>0.00999999977648258</v>
      </c>
      <c r="F215" s="3">
        <v>0.00999999977648258</v>
      </c>
      <c r="G215" s="3">
        <v>0.0</v>
      </c>
      <c r="H215" s="3">
        <v>0.0</v>
      </c>
      <c r="I215" s="3">
        <v>0.0</v>
      </c>
      <c r="J215" s="3">
        <v>0.00999999977648258</v>
      </c>
      <c r="K215" s="3">
        <v>0.0</v>
      </c>
      <c r="L215" s="3">
        <v>0.0</v>
      </c>
      <c r="M215" s="3">
        <v>0.0</v>
      </c>
      <c r="N215" s="3">
        <v>1.0</v>
      </c>
      <c r="O215" s="3">
        <v>1439.0</v>
      </c>
      <c r="P215" s="3">
        <v>1778.0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">
        <v>4.057192912E9</v>
      </c>
      <c r="B216" s="4">
        <v>42458.0</v>
      </c>
      <c r="C216" s="5">
        <f t="shared" si="1"/>
        <v>42458</v>
      </c>
      <c r="D216" s="3">
        <v>5137.0</v>
      </c>
      <c r="E216" s="3">
        <v>3.75999999046326</v>
      </c>
      <c r="F216" s="3">
        <v>3.75999999046326</v>
      </c>
      <c r="G216" s="3">
        <v>0.0</v>
      </c>
      <c r="H216" s="3">
        <v>0.0</v>
      </c>
      <c r="I216" s="3">
        <v>0.0</v>
      </c>
      <c r="J216" s="3">
        <v>3.75999999046326</v>
      </c>
      <c r="K216" s="3">
        <v>0.0</v>
      </c>
      <c r="L216" s="3">
        <v>0.0</v>
      </c>
      <c r="M216" s="3">
        <v>0.0</v>
      </c>
      <c r="N216" s="3">
        <v>160.0</v>
      </c>
      <c r="O216" s="3">
        <v>1280.0</v>
      </c>
      <c r="P216" s="3">
        <v>2293.0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">
        <v>4.057192912E9</v>
      </c>
      <c r="B217" s="4">
        <v>42459.0</v>
      </c>
      <c r="C217" s="5">
        <f t="shared" si="1"/>
        <v>42459</v>
      </c>
      <c r="D217" s="3">
        <v>5419.0</v>
      </c>
      <c r="E217" s="3">
        <v>4.0</v>
      </c>
      <c r="F217" s="3">
        <v>4.57000017166138</v>
      </c>
      <c r="G217" s="3">
        <v>0.055842999368906</v>
      </c>
      <c r="H217" s="3">
        <v>0.0</v>
      </c>
      <c r="I217" s="3">
        <v>0.0</v>
      </c>
      <c r="J217" s="3">
        <v>3.91000008583069</v>
      </c>
      <c r="K217" s="3">
        <v>0.0599999986588955</v>
      </c>
      <c r="L217" s="3">
        <v>0.0</v>
      </c>
      <c r="M217" s="3">
        <v>0.0</v>
      </c>
      <c r="N217" s="3">
        <v>145.0</v>
      </c>
      <c r="O217" s="3">
        <v>1295.0</v>
      </c>
      <c r="P217" s="3">
        <v>2259.0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">
        <v>4.057192912E9</v>
      </c>
      <c r="B218" s="4">
        <v>42460.0</v>
      </c>
      <c r="C218" s="5">
        <f t="shared" si="1"/>
        <v>42460</v>
      </c>
      <c r="D218" s="3">
        <v>0.0</v>
      </c>
      <c r="E218" s="3">
        <v>0.0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1440.0</v>
      </c>
      <c r="P218" s="3">
        <v>1776.0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">
        <v>4.057192912E9</v>
      </c>
      <c r="B219" s="4">
        <v>42461.0</v>
      </c>
      <c r="C219" s="5">
        <f t="shared" si="1"/>
        <v>42461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1440.0</v>
      </c>
      <c r="P219" s="3">
        <v>1776.0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">
        <v>4.057192912E9</v>
      </c>
      <c r="B220" s="4">
        <v>42462.0</v>
      </c>
      <c r="C220" s="5">
        <f t="shared" si="1"/>
        <v>42462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1440.0</v>
      </c>
      <c r="P220" s="3">
        <v>1776.0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">
        <v>4.057192912E9</v>
      </c>
      <c r="B221" s="4">
        <v>42463.0</v>
      </c>
      <c r="C221" s="5">
        <f t="shared" si="1"/>
        <v>42463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1440.0</v>
      </c>
      <c r="P221" s="3">
        <v>1776.0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">
        <v>4.057192912E9</v>
      </c>
      <c r="B222" s="4">
        <v>42464.0</v>
      </c>
      <c r="C222" s="5">
        <f t="shared" si="1"/>
        <v>42464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1440.0</v>
      </c>
      <c r="P222" s="3">
        <v>1776.0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">
        <v>4.057192912E9</v>
      </c>
      <c r="B223" s="4">
        <v>42465.0</v>
      </c>
      <c r="C223" s="5">
        <f t="shared" si="1"/>
        <v>42465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1440.0</v>
      </c>
      <c r="P223" s="3">
        <v>1776.0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">
        <v>4.057192912E9</v>
      </c>
      <c r="B224" s="4">
        <v>42466.0</v>
      </c>
      <c r="C224" s="5">
        <f t="shared" si="1"/>
        <v>42466</v>
      </c>
      <c r="D224" s="3">
        <v>18.0</v>
      </c>
      <c r="E224" s="3">
        <v>0.00999999977648258</v>
      </c>
      <c r="F224" s="3">
        <v>0.00999999977648258</v>
      </c>
      <c r="G224" s="3">
        <v>0.0</v>
      </c>
      <c r="H224" s="3">
        <v>0.0</v>
      </c>
      <c r="I224" s="3">
        <v>0.0</v>
      </c>
      <c r="J224" s="3">
        <v>0.00999999977648258</v>
      </c>
      <c r="K224" s="3">
        <v>0.0</v>
      </c>
      <c r="L224" s="3">
        <v>0.0</v>
      </c>
      <c r="M224" s="3">
        <v>0.0</v>
      </c>
      <c r="N224" s="3">
        <v>2.0</v>
      </c>
      <c r="O224" s="3">
        <v>1438.0</v>
      </c>
      <c r="P224" s="3">
        <v>1780.0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">
        <v>4.057192912E9</v>
      </c>
      <c r="B225" s="4">
        <v>42467.0</v>
      </c>
      <c r="C225" s="5">
        <f t="shared" si="1"/>
        <v>42467</v>
      </c>
      <c r="D225" s="3">
        <v>4.0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1.0</v>
      </c>
      <c r="O225" s="3">
        <v>1439.0</v>
      </c>
      <c r="P225" s="3">
        <v>1778.0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">
        <v>4.057192912E9</v>
      </c>
      <c r="B226" s="4">
        <v>42468.0</v>
      </c>
      <c r="C226" s="5">
        <f t="shared" si="1"/>
        <v>42468</v>
      </c>
      <c r="D226" s="3">
        <v>8426.0</v>
      </c>
      <c r="E226" s="3">
        <v>6.15999984741211</v>
      </c>
      <c r="F226" s="3">
        <v>6.15999984741211</v>
      </c>
      <c r="G226" s="3">
        <v>0.0</v>
      </c>
      <c r="H226" s="3">
        <v>0.129999995231628</v>
      </c>
      <c r="I226" s="3">
        <v>5.48999977111816</v>
      </c>
      <c r="J226" s="3">
        <v>0.540000021457672</v>
      </c>
      <c r="K226" s="3">
        <v>0.0</v>
      </c>
      <c r="L226" s="3">
        <v>2.0</v>
      </c>
      <c r="M226" s="3">
        <v>120.0</v>
      </c>
      <c r="N226" s="3">
        <v>25.0</v>
      </c>
      <c r="O226" s="3">
        <v>1293.0</v>
      </c>
      <c r="P226" s="3">
        <v>2360.0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">
        <v>4.057192912E9</v>
      </c>
      <c r="B227" s="4">
        <v>42469.0</v>
      </c>
      <c r="C227" s="5">
        <f t="shared" si="1"/>
        <v>42469</v>
      </c>
      <c r="D227" s="3">
        <v>1650.0</v>
      </c>
      <c r="E227" s="3">
        <v>1.21000003814697</v>
      </c>
      <c r="F227" s="3">
        <v>1.21000003814697</v>
      </c>
      <c r="G227" s="3">
        <v>0.0</v>
      </c>
      <c r="H227" s="3">
        <v>0.0</v>
      </c>
      <c r="I227" s="3">
        <v>0.0</v>
      </c>
      <c r="J227" s="3">
        <v>1.21000003814697</v>
      </c>
      <c r="K227" s="3">
        <v>0.0</v>
      </c>
      <c r="L227" s="3">
        <v>0.0</v>
      </c>
      <c r="M227" s="3">
        <v>0.0</v>
      </c>
      <c r="N227" s="3">
        <v>60.0</v>
      </c>
      <c r="O227" s="3">
        <v>1380.0</v>
      </c>
      <c r="P227" s="3">
        <v>1952.0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">
        <v>4.057192912E9</v>
      </c>
      <c r="B228" s="4">
        <v>42470.0</v>
      </c>
      <c r="C228" s="5">
        <f t="shared" si="1"/>
        <v>42470</v>
      </c>
      <c r="D228" s="3">
        <v>3434.0</v>
      </c>
      <c r="E228" s="3">
        <v>2.50999999046326</v>
      </c>
      <c r="F228" s="3">
        <v>2.50999999046326</v>
      </c>
      <c r="G228" s="3">
        <v>0.0</v>
      </c>
      <c r="H228" s="3">
        <v>0.0700000002980232</v>
      </c>
      <c r="I228" s="3">
        <v>0.300000011920929</v>
      </c>
      <c r="J228" s="3">
        <v>2.14000010490417</v>
      </c>
      <c r="K228" s="3">
        <v>0.0</v>
      </c>
      <c r="L228" s="3">
        <v>1.0</v>
      </c>
      <c r="M228" s="3">
        <v>7.0</v>
      </c>
      <c r="N228" s="3">
        <v>108.0</v>
      </c>
      <c r="O228" s="3">
        <v>1324.0</v>
      </c>
      <c r="P228" s="3">
        <v>2101.0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">
        <v>4.057192912E9</v>
      </c>
      <c r="B229" s="4">
        <v>42471.0</v>
      </c>
      <c r="C229" s="5">
        <f t="shared" si="1"/>
        <v>42471</v>
      </c>
      <c r="D229" s="3">
        <v>6801.0</v>
      </c>
      <c r="E229" s="3">
        <v>4.98000001907349</v>
      </c>
      <c r="F229" s="3">
        <v>4.98000001907349</v>
      </c>
      <c r="G229" s="3">
        <v>0.0</v>
      </c>
      <c r="H229" s="3">
        <v>0.0</v>
      </c>
      <c r="I229" s="3">
        <v>0.0</v>
      </c>
      <c r="J229" s="3">
        <v>4.96999979019165</v>
      </c>
      <c r="K229" s="3">
        <v>0.0</v>
      </c>
      <c r="L229" s="3">
        <v>0.0</v>
      </c>
      <c r="M229" s="3">
        <v>0.0</v>
      </c>
      <c r="N229" s="3">
        <v>193.0</v>
      </c>
      <c r="O229" s="3">
        <v>1247.0</v>
      </c>
      <c r="P229" s="3">
        <v>2393.0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">
        <v>4.057192912E9</v>
      </c>
      <c r="B230" s="4">
        <v>42472.0</v>
      </c>
      <c r="C230" s="5">
        <f t="shared" si="1"/>
        <v>42472</v>
      </c>
      <c r="D230" s="3">
        <v>187.0</v>
      </c>
      <c r="E230" s="3">
        <v>0.140000000596046</v>
      </c>
      <c r="F230" s="3">
        <v>0.140000000596046</v>
      </c>
      <c r="G230" s="3">
        <v>0.0</v>
      </c>
      <c r="H230" s="3">
        <v>0.0</v>
      </c>
      <c r="I230" s="3">
        <v>0.0</v>
      </c>
      <c r="J230" s="3">
        <v>0.140000000596046</v>
      </c>
      <c r="K230" s="3">
        <v>0.0</v>
      </c>
      <c r="L230" s="3">
        <v>0.0</v>
      </c>
      <c r="M230" s="3">
        <v>0.0</v>
      </c>
      <c r="N230" s="3">
        <v>11.0</v>
      </c>
      <c r="O230" s="3">
        <v>400.0</v>
      </c>
      <c r="P230" s="3">
        <v>538.0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">
        <v>4.319703577E9</v>
      </c>
      <c r="B231" s="4">
        <v>42458.0</v>
      </c>
      <c r="C231" s="5">
        <f t="shared" si="1"/>
        <v>42458</v>
      </c>
      <c r="D231" s="3">
        <v>5643.0</v>
      </c>
      <c r="E231" s="3">
        <v>3.78999996185303</v>
      </c>
      <c r="F231" s="3">
        <v>3.78999996185303</v>
      </c>
      <c r="G231" s="3">
        <v>0.0</v>
      </c>
      <c r="H231" s="3">
        <v>0.230000004172325</v>
      </c>
      <c r="I231" s="3">
        <v>0.330000013113022</v>
      </c>
      <c r="J231" s="3">
        <v>3.23000001907349</v>
      </c>
      <c r="K231" s="3">
        <v>0.0</v>
      </c>
      <c r="L231" s="3">
        <v>3.0</v>
      </c>
      <c r="M231" s="3">
        <v>8.0</v>
      </c>
      <c r="N231" s="3">
        <v>199.0</v>
      </c>
      <c r="O231" s="3">
        <v>683.0</v>
      </c>
      <c r="P231" s="3">
        <v>1958.0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">
        <v>4.319703577E9</v>
      </c>
      <c r="B232" s="4">
        <v>42459.0</v>
      </c>
      <c r="C232" s="5">
        <f t="shared" si="1"/>
        <v>42459</v>
      </c>
      <c r="D232" s="3">
        <v>9043.0</v>
      </c>
      <c r="E232" s="3">
        <v>6.07000017166138</v>
      </c>
      <c r="F232" s="3">
        <v>6.07000017166138</v>
      </c>
      <c r="G232" s="3">
        <v>0.0</v>
      </c>
      <c r="H232" s="3">
        <v>0.25</v>
      </c>
      <c r="I232" s="3">
        <v>0.430000007152557</v>
      </c>
      <c r="J232" s="3">
        <v>5.36999988555908</v>
      </c>
      <c r="K232" s="3">
        <v>0.0</v>
      </c>
      <c r="L232" s="3">
        <v>4.0</v>
      </c>
      <c r="M232" s="3">
        <v>12.0</v>
      </c>
      <c r="N232" s="3">
        <v>244.0</v>
      </c>
      <c r="O232" s="3">
        <v>702.0</v>
      </c>
      <c r="P232" s="3">
        <v>2141.0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">
        <v>4.319703577E9</v>
      </c>
      <c r="B233" s="4">
        <v>42460.0</v>
      </c>
      <c r="C233" s="5">
        <f t="shared" si="1"/>
        <v>42460</v>
      </c>
      <c r="D233" s="3">
        <v>8144.0</v>
      </c>
      <c r="E233" s="3">
        <v>5.46000003814697</v>
      </c>
      <c r="F233" s="3">
        <v>5.46000003814697</v>
      </c>
      <c r="G233" s="3">
        <v>0.0</v>
      </c>
      <c r="H233" s="3">
        <v>0.25</v>
      </c>
      <c r="I233" s="3">
        <v>0.610000014305115</v>
      </c>
      <c r="J233" s="3">
        <v>4.6100001335144</v>
      </c>
      <c r="K233" s="3">
        <v>0.0</v>
      </c>
      <c r="L233" s="3">
        <v>4.0</v>
      </c>
      <c r="M233" s="3">
        <v>17.0</v>
      </c>
      <c r="N233" s="3">
        <v>247.0</v>
      </c>
      <c r="O233" s="3">
        <v>1125.0</v>
      </c>
      <c r="P233" s="3">
        <v>2129.0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">
        <v>4.319703577E9</v>
      </c>
      <c r="B234" s="4">
        <v>42461.0</v>
      </c>
      <c r="C234" s="5">
        <f t="shared" si="1"/>
        <v>42461</v>
      </c>
      <c r="D234" s="3">
        <v>9343.0</v>
      </c>
      <c r="E234" s="3">
        <v>6.26999998092651</v>
      </c>
      <c r="F234" s="3">
        <v>6.26999998092651</v>
      </c>
      <c r="G234" s="3">
        <v>0.0</v>
      </c>
      <c r="H234" s="3">
        <v>0.959999978542328</v>
      </c>
      <c r="I234" s="3">
        <v>0.850000023841858</v>
      </c>
      <c r="J234" s="3">
        <v>4.46000003814697</v>
      </c>
      <c r="K234" s="3">
        <v>0.0</v>
      </c>
      <c r="L234" s="3">
        <v>14.0</v>
      </c>
      <c r="M234" s="3">
        <v>20.0</v>
      </c>
      <c r="N234" s="3">
        <v>268.0</v>
      </c>
      <c r="O234" s="3">
        <v>654.0</v>
      </c>
      <c r="P234" s="3">
        <v>2216.0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">
        <v>4.319703577E9</v>
      </c>
      <c r="B235" s="4">
        <v>42462.0</v>
      </c>
      <c r="C235" s="5">
        <f t="shared" si="1"/>
        <v>42462</v>
      </c>
      <c r="D235" s="3">
        <v>8405.0</v>
      </c>
      <c r="E235" s="3">
        <v>5.65999984741211</v>
      </c>
      <c r="F235" s="3">
        <v>5.65999984741211</v>
      </c>
      <c r="G235" s="3">
        <v>0.0</v>
      </c>
      <c r="H235" s="3">
        <v>1.12999999523163</v>
      </c>
      <c r="I235" s="3">
        <v>0.189999997615814</v>
      </c>
      <c r="J235" s="3">
        <v>4.34000015258789</v>
      </c>
      <c r="K235" s="3">
        <v>0.0</v>
      </c>
      <c r="L235" s="3">
        <v>15.0</v>
      </c>
      <c r="M235" s="3">
        <v>4.0</v>
      </c>
      <c r="N235" s="3">
        <v>257.0</v>
      </c>
      <c r="O235" s="3">
        <v>621.0</v>
      </c>
      <c r="P235" s="3">
        <v>2154.0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">
        <v>4.319703577E9</v>
      </c>
      <c r="B236" s="4">
        <v>42463.0</v>
      </c>
      <c r="C236" s="5">
        <f t="shared" si="1"/>
        <v>42463</v>
      </c>
      <c r="D236" s="3">
        <v>8223.0</v>
      </c>
      <c r="E236" s="3">
        <v>5.51999998092651</v>
      </c>
      <c r="F236" s="3">
        <v>5.51999998092651</v>
      </c>
      <c r="G236" s="3">
        <v>0.0</v>
      </c>
      <c r="H236" s="3">
        <v>0.800000011920929</v>
      </c>
      <c r="I236" s="3">
        <v>1.50999999046326</v>
      </c>
      <c r="J236" s="3">
        <v>3.21000003814697</v>
      </c>
      <c r="K236" s="3">
        <v>0.0</v>
      </c>
      <c r="L236" s="3">
        <v>12.0</v>
      </c>
      <c r="M236" s="3">
        <v>37.0</v>
      </c>
      <c r="N236" s="3">
        <v>257.0</v>
      </c>
      <c r="O236" s="3">
        <v>551.0</v>
      </c>
      <c r="P236" s="3">
        <v>2178.0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">
        <v>4.319703577E9</v>
      </c>
      <c r="B237" s="4">
        <v>42464.0</v>
      </c>
      <c r="C237" s="5">
        <f t="shared" si="1"/>
        <v>42464</v>
      </c>
      <c r="D237" s="3">
        <v>10067.0</v>
      </c>
      <c r="E237" s="3">
        <v>6.76000022888184</v>
      </c>
      <c r="F237" s="3">
        <v>6.76000022888184</v>
      </c>
      <c r="G237" s="3">
        <v>0.0</v>
      </c>
      <c r="H237" s="3">
        <v>0.360000014305115</v>
      </c>
      <c r="I237" s="3">
        <v>1.41999995708466</v>
      </c>
      <c r="J237" s="3">
        <v>4.96999979019165</v>
      </c>
      <c r="K237" s="3">
        <v>0.0</v>
      </c>
      <c r="L237" s="3">
        <v>5.0</v>
      </c>
      <c r="M237" s="3">
        <v>39.0</v>
      </c>
      <c r="N237" s="3">
        <v>313.0</v>
      </c>
      <c r="O237" s="3">
        <v>578.0</v>
      </c>
      <c r="P237" s="3">
        <v>2308.0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">
        <v>4.319703577E9</v>
      </c>
      <c r="B238" s="4">
        <v>42465.0</v>
      </c>
      <c r="C238" s="5">
        <f t="shared" si="1"/>
        <v>42465</v>
      </c>
      <c r="D238" s="3">
        <v>8359.0</v>
      </c>
      <c r="E238" s="3">
        <v>5.63000011444092</v>
      </c>
      <c r="F238" s="3">
        <v>5.63000011444092</v>
      </c>
      <c r="G238" s="3">
        <v>0.0</v>
      </c>
      <c r="H238" s="3">
        <v>0.230000004172325</v>
      </c>
      <c r="I238" s="3">
        <v>0.529999971389771</v>
      </c>
      <c r="J238" s="3">
        <v>4.86999988555908</v>
      </c>
      <c r="K238" s="3">
        <v>0.0</v>
      </c>
      <c r="L238" s="3">
        <v>3.0</v>
      </c>
      <c r="M238" s="3">
        <v>14.0</v>
      </c>
      <c r="N238" s="3">
        <v>311.0</v>
      </c>
      <c r="O238" s="3">
        <v>638.0</v>
      </c>
      <c r="P238" s="3">
        <v>2201.0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">
        <v>4.319703577E9</v>
      </c>
      <c r="B239" s="4">
        <v>42466.0</v>
      </c>
      <c r="C239" s="5">
        <f t="shared" si="1"/>
        <v>42466</v>
      </c>
      <c r="D239" s="3">
        <v>10946.0</v>
      </c>
      <c r="E239" s="3">
        <v>7.34999990463257</v>
      </c>
      <c r="F239" s="3">
        <v>7.34999990463257</v>
      </c>
      <c r="G239" s="3">
        <v>0.0</v>
      </c>
      <c r="H239" s="3">
        <v>0.540000021457672</v>
      </c>
      <c r="I239" s="3">
        <v>2.08999991416931</v>
      </c>
      <c r="J239" s="3">
        <v>4.71999979019165</v>
      </c>
      <c r="K239" s="3">
        <v>0.0</v>
      </c>
      <c r="L239" s="3">
        <v>8.0</v>
      </c>
      <c r="M239" s="3">
        <v>51.0</v>
      </c>
      <c r="N239" s="3">
        <v>308.0</v>
      </c>
      <c r="O239" s="3">
        <v>569.0</v>
      </c>
      <c r="P239" s="3">
        <v>2341.0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">
        <v>4.319703577E9</v>
      </c>
      <c r="B240" s="4">
        <v>42467.0</v>
      </c>
      <c r="C240" s="5">
        <f t="shared" si="1"/>
        <v>42467</v>
      </c>
      <c r="D240" s="3">
        <v>9130.0</v>
      </c>
      <c r="E240" s="3">
        <v>6.15000009536743</v>
      </c>
      <c r="F240" s="3">
        <v>6.15000009536743</v>
      </c>
      <c r="G240" s="3">
        <v>0.0</v>
      </c>
      <c r="H240" s="3">
        <v>0.5</v>
      </c>
      <c r="I240" s="3">
        <v>0.379999995231628</v>
      </c>
      <c r="J240" s="3">
        <v>5.26999998092651</v>
      </c>
      <c r="K240" s="3">
        <v>0.0</v>
      </c>
      <c r="L240" s="3">
        <v>7.0</v>
      </c>
      <c r="M240" s="3">
        <v>11.0</v>
      </c>
      <c r="N240" s="3">
        <v>304.0</v>
      </c>
      <c r="O240" s="3">
        <v>668.0</v>
      </c>
      <c r="P240" s="3">
        <v>2236.0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">
        <v>4.319703577E9</v>
      </c>
      <c r="B241" s="4">
        <v>42468.0</v>
      </c>
      <c r="C241" s="5">
        <f t="shared" si="1"/>
        <v>42468</v>
      </c>
      <c r="D241" s="3">
        <v>6544.0</v>
      </c>
      <c r="E241" s="3">
        <v>4.40999984741211</v>
      </c>
      <c r="F241" s="3">
        <v>4.40999984741211</v>
      </c>
      <c r="G241" s="3">
        <v>0.0</v>
      </c>
      <c r="H241" s="3">
        <v>0.28999999165535</v>
      </c>
      <c r="I241" s="3">
        <v>0.259999990463257</v>
      </c>
      <c r="J241" s="3">
        <v>3.85999989509583</v>
      </c>
      <c r="K241" s="3">
        <v>0.0</v>
      </c>
      <c r="L241" s="3">
        <v>4.0</v>
      </c>
      <c r="M241" s="3">
        <v>6.0</v>
      </c>
      <c r="N241" s="3">
        <v>276.0</v>
      </c>
      <c r="O241" s="3">
        <v>1132.0</v>
      </c>
      <c r="P241" s="3">
        <v>2069.0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">
        <v>4.319703577E9</v>
      </c>
      <c r="B242" s="4">
        <v>42469.0</v>
      </c>
      <c r="C242" s="5">
        <f t="shared" si="1"/>
        <v>42469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1440.0</v>
      </c>
      <c r="P242" s="3">
        <v>0.0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">
        <v>4.388161847E9</v>
      </c>
      <c r="B243" s="4">
        <v>42458.0</v>
      </c>
      <c r="C243" s="5">
        <f t="shared" si="1"/>
        <v>42458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1440.0</v>
      </c>
      <c r="P243" s="3">
        <v>1878.0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">
        <v>4.388161847E9</v>
      </c>
      <c r="B244" s="4">
        <v>42459.0</v>
      </c>
      <c r="C244" s="5">
        <f t="shared" si="1"/>
        <v>42459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1440.0</v>
      </c>
      <c r="P244" s="3">
        <v>1878.0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">
        <v>4.388161847E9</v>
      </c>
      <c r="B245" s="4">
        <v>42460.0</v>
      </c>
      <c r="C245" s="5">
        <f t="shared" si="1"/>
        <v>42460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1440.0</v>
      </c>
      <c r="P245" s="3">
        <v>1878.0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">
        <v>4.388161847E9</v>
      </c>
      <c r="B246" s="4">
        <v>42461.0</v>
      </c>
      <c r="C246" s="5">
        <f t="shared" si="1"/>
        <v>42461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1440.0</v>
      </c>
      <c r="P246" s="3">
        <v>1878.0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">
        <v>4.388161847E9</v>
      </c>
      <c r="B247" s="4">
        <v>42462.0</v>
      </c>
      <c r="C247" s="5">
        <f t="shared" si="1"/>
        <v>42462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1440.0</v>
      </c>
      <c r="P247" s="3">
        <v>1878.0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">
        <v>4.388161847E9</v>
      </c>
      <c r="B248" s="4">
        <v>42463.0</v>
      </c>
      <c r="C248" s="5">
        <f t="shared" si="1"/>
        <v>42463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1440.0</v>
      </c>
      <c r="P248" s="3">
        <v>1878.0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">
        <v>4.388161847E9</v>
      </c>
      <c r="B249" s="4">
        <v>42464.0</v>
      </c>
      <c r="C249" s="5">
        <f t="shared" si="1"/>
        <v>42464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1440.0</v>
      </c>
      <c r="P249" s="3">
        <v>1878.0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">
        <v>4.388161847E9</v>
      </c>
      <c r="B250" s="4">
        <v>42465.0</v>
      </c>
      <c r="C250" s="5">
        <f t="shared" si="1"/>
        <v>42465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994.0</v>
      </c>
      <c r="P250" s="3">
        <v>1296.0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">
        <v>4.445114986E9</v>
      </c>
      <c r="B251" s="4">
        <v>42458.0</v>
      </c>
      <c r="C251" s="5">
        <f t="shared" si="1"/>
        <v>42458</v>
      </c>
      <c r="D251" s="3">
        <v>2303.0</v>
      </c>
      <c r="E251" s="3">
        <v>1.54999995231628</v>
      </c>
      <c r="F251" s="3">
        <v>1.54999995231628</v>
      </c>
      <c r="G251" s="3">
        <v>0.0</v>
      </c>
      <c r="H251" s="3">
        <v>0.0</v>
      </c>
      <c r="I251" s="3">
        <v>0.0</v>
      </c>
      <c r="J251" s="3">
        <v>1.54999995231628</v>
      </c>
      <c r="K251" s="3">
        <v>0.0</v>
      </c>
      <c r="L251" s="3">
        <v>0.0</v>
      </c>
      <c r="M251" s="3">
        <v>0.0</v>
      </c>
      <c r="N251" s="3">
        <v>155.0</v>
      </c>
      <c r="O251" s="3">
        <v>807.0</v>
      </c>
      <c r="P251" s="3">
        <v>2010.0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">
        <v>4.445114986E9</v>
      </c>
      <c r="B252" s="4">
        <v>42459.0</v>
      </c>
      <c r="C252" s="5">
        <f t="shared" si="1"/>
        <v>42459</v>
      </c>
      <c r="D252" s="3">
        <v>2600.0</v>
      </c>
      <c r="E252" s="3">
        <v>1.74000000953674</v>
      </c>
      <c r="F252" s="3">
        <v>1.74000000953674</v>
      </c>
      <c r="G252" s="3">
        <v>0.0</v>
      </c>
      <c r="H252" s="3">
        <v>0.0</v>
      </c>
      <c r="I252" s="3">
        <v>0.0</v>
      </c>
      <c r="J252" s="3">
        <v>1.74000000953674</v>
      </c>
      <c r="K252" s="3">
        <v>0.0</v>
      </c>
      <c r="L252" s="3">
        <v>0.0</v>
      </c>
      <c r="M252" s="3">
        <v>0.0</v>
      </c>
      <c r="N252" s="3">
        <v>163.0</v>
      </c>
      <c r="O252" s="3">
        <v>1277.0</v>
      </c>
      <c r="P252" s="3">
        <v>2032.0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">
        <v>4.445114986E9</v>
      </c>
      <c r="B253" s="4">
        <v>42460.0</v>
      </c>
      <c r="C253" s="5">
        <f t="shared" si="1"/>
        <v>42460</v>
      </c>
      <c r="D253" s="3">
        <v>4804.0</v>
      </c>
      <c r="E253" s="3">
        <v>3.22000002861023</v>
      </c>
      <c r="F253" s="3">
        <v>3.22000002861023</v>
      </c>
      <c r="G253" s="3">
        <v>0.0</v>
      </c>
      <c r="H253" s="3">
        <v>0.0</v>
      </c>
      <c r="I253" s="3">
        <v>0.0</v>
      </c>
      <c r="J253" s="3">
        <v>3.22000002861023</v>
      </c>
      <c r="K253" s="3">
        <v>0.0</v>
      </c>
      <c r="L253" s="3">
        <v>0.0</v>
      </c>
      <c r="M253" s="3">
        <v>0.0</v>
      </c>
      <c r="N253" s="3">
        <v>238.0</v>
      </c>
      <c r="O253" s="3">
        <v>786.0</v>
      </c>
      <c r="P253" s="3">
        <v>2227.0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">
        <v>4.445114986E9</v>
      </c>
      <c r="B254" s="4">
        <v>42461.0</v>
      </c>
      <c r="C254" s="5">
        <f t="shared" si="1"/>
        <v>42461</v>
      </c>
      <c r="D254" s="3">
        <v>3271.0</v>
      </c>
      <c r="E254" s="3">
        <v>2.19000005722046</v>
      </c>
      <c r="F254" s="3">
        <v>2.19000005722046</v>
      </c>
      <c r="G254" s="3">
        <v>0.0</v>
      </c>
      <c r="H254" s="3">
        <v>0.0</v>
      </c>
      <c r="I254" s="3">
        <v>0.0</v>
      </c>
      <c r="J254" s="3">
        <v>2.19000005722046</v>
      </c>
      <c r="K254" s="3">
        <v>0.0</v>
      </c>
      <c r="L254" s="3">
        <v>0.0</v>
      </c>
      <c r="M254" s="3">
        <v>0.0</v>
      </c>
      <c r="N254" s="3">
        <v>205.0</v>
      </c>
      <c r="O254" s="3">
        <v>898.0</v>
      </c>
      <c r="P254" s="3">
        <v>2133.0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">
        <v>4.445114986E9</v>
      </c>
      <c r="B255" s="4">
        <v>42462.0</v>
      </c>
      <c r="C255" s="5">
        <f t="shared" si="1"/>
        <v>42462</v>
      </c>
      <c r="D255" s="3">
        <v>5406.0</v>
      </c>
      <c r="E255" s="3">
        <v>3.63000011444092</v>
      </c>
      <c r="F255" s="3">
        <v>3.63000011444092</v>
      </c>
      <c r="G255" s="3">
        <v>0.0</v>
      </c>
      <c r="H255" s="3">
        <v>0.0</v>
      </c>
      <c r="I255" s="3">
        <v>0.0</v>
      </c>
      <c r="J255" s="3">
        <v>3.60999989509583</v>
      </c>
      <c r="K255" s="3">
        <v>0.0</v>
      </c>
      <c r="L255" s="3">
        <v>0.0</v>
      </c>
      <c r="M255" s="3">
        <v>0.0</v>
      </c>
      <c r="N255" s="3">
        <v>273.0</v>
      </c>
      <c r="O255" s="3">
        <v>672.0</v>
      </c>
      <c r="P255" s="3">
        <v>2317.0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">
        <v>4.445114986E9</v>
      </c>
      <c r="B256" s="4">
        <v>42463.0</v>
      </c>
      <c r="C256" s="5">
        <f t="shared" si="1"/>
        <v>42463</v>
      </c>
      <c r="D256" s="3">
        <v>3146.0</v>
      </c>
      <c r="E256" s="3">
        <v>2.10999989509583</v>
      </c>
      <c r="F256" s="3">
        <v>2.10999989509583</v>
      </c>
      <c r="G256" s="3">
        <v>0.0</v>
      </c>
      <c r="H256" s="3">
        <v>0.0</v>
      </c>
      <c r="I256" s="3">
        <v>0.0</v>
      </c>
      <c r="J256" s="3">
        <v>2.10999989509583</v>
      </c>
      <c r="K256" s="3">
        <v>0.0</v>
      </c>
      <c r="L256" s="3">
        <v>0.0</v>
      </c>
      <c r="M256" s="3">
        <v>0.0</v>
      </c>
      <c r="N256" s="3">
        <v>171.0</v>
      </c>
      <c r="O256" s="3">
        <v>1269.0</v>
      </c>
      <c r="P256" s="3">
        <v>2058.0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">
        <v>4.445114986E9</v>
      </c>
      <c r="B257" s="4">
        <v>42464.0</v>
      </c>
      <c r="C257" s="5">
        <f t="shared" si="1"/>
        <v>42464</v>
      </c>
      <c r="D257" s="3">
        <v>2422.0</v>
      </c>
      <c r="E257" s="3">
        <v>1.62999999523163</v>
      </c>
      <c r="F257" s="3">
        <v>1.62999999523163</v>
      </c>
      <c r="G257" s="3">
        <v>0.0</v>
      </c>
      <c r="H257" s="3">
        <v>0.0</v>
      </c>
      <c r="I257" s="3">
        <v>0.0</v>
      </c>
      <c r="J257" s="3">
        <v>1.62999999523163</v>
      </c>
      <c r="K257" s="3">
        <v>0.0</v>
      </c>
      <c r="L257" s="3">
        <v>0.0</v>
      </c>
      <c r="M257" s="3">
        <v>0.0</v>
      </c>
      <c r="N257" s="3">
        <v>110.0</v>
      </c>
      <c r="O257" s="3">
        <v>1330.0</v>
      </c>
      <c r="P257" s="3">
        <v>1935.0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">
        <v>4.445114986E9</v>
      </c>
      <c r="B258" s="4">
        <v>42465.0</v>
      </c>
      <c r="C258" s="5">
        <f t="shared" si="1"/>
        <v>42465</v>
      </c>
      <c r="D258" s="3">
        <v>4239.0</v>
      </c>
      <c r="E258" s="3">
        <v>2.83999991416931</v>
      </c>
      <c r="F258" s="3">
        <v>2.83999991416931</v>
      </c>
      <c r="G258" s="3">
        <v>0.0</v>
      </c>
      <c r="H258" s="3">
        <v>0.0599999986588955</v>
      </c>
      <c r="I258" s="3">
        <v>0.239999994635582</v>
      </c>
      <c r="J258" s="3">
        <v>2.52999997138977</v>
      </c>
      <c r="K258" s="3">
        <v>0.0</v>
      </c>
      <c r="L258" s="3">
        <v>1.0</v>
      </c>
      <c r="M258" s="3">
        <v>6.0</v>
      </c>
      <c r="N258" s="3">
        <v>235.0</v>
      </c>
      <c r="O258" s="3">
        <v>702.0</v>
      </c>
      <c r="P258" s="3">
        <v>2217.0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">
        <v>4.445114986E9</v>
      </c>
      <c r="B259" s="4">
        <v>42466.0</v>
      </c>
      <c r="C259" s="5">
        <f t="shared" si="1"/>
        <v>42466</v>
      </c>
      <c r="D259" s="3">
        <v>6911.0</v>
      </c>
      <c r="E259" s="3">
        <v>4.78000020980835</v>
      </c>
      <c r="F259" s="3">
        <v>4.78000020980835</v>
      </c>
      <c r="G259" s="3">
        <v>0.0</v>
      </c>
      <c r="H259" s="3">
        <v>2.3199999332428</v>
      </c>
      <c r="I259" s="3">
        <v>0.100000001490116</v>
      </c>
      <c r="J259" s="3">
        <v>2.35999989509583</v>
      </c>
      <c r="K259" s="3">
        <v>0.0</v>
      </c>
      <c r="L259" s="3">
        <v>28.0</v>
      </c>
      <c r="M259" s="3">
        <v>2.0</v>
      </c>
      <c r="N259" s="3">
        <v>215.0</v>
      </c>
      <c r="O259" s="3">
        <v>745.0</v>
      </c>
      <c r="P259" s="3">
        <v>2374.0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">
        <v>4.445114986E9</v>
      </c>
      <c r="B260" s="4">
        <v>42467.0</v>
      </c>
      <c r="C260" s="5">
        <f t="shared" si="1"/>
        <v>42467</v>
      </c>
      <c r="D260" s="3">
        <v>6667.0</v>
      </c>
      <c r="E260" s="3">
        <v>4.6100001335144</v>
      </c>
      <c r="F260" s="3">
        <v>4.6100001335144</v>
      </c>
      <c r="G260" s="3">
        <v>0.0</v>
      </c>
      <c r="H260" s="3">
        <v>2.01999998092651</v>
      </c>
      <c r="I260" s="3">
        <v>0.0500000007450581</v>
      </c>
      <c r="J260" s="3">
        <v>2.54999995231628</v>
      </c>
      <c r="K260" s="3">
        <v>0.0</v>
      </c>
      <c r="L260" s="3">
        <v>24.0</v>
      </c>
      <c r="M260" s="3">
        <v>1.0</v>
      </c>
      <c r="N260" s="3">
        <v>208.0</v>
      </c>
      <c r="O260" s="3">
        <v>939.0</v>
      </c>
      <c r="P260" s="3">
        <v>2335.0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">
        <v>4.445114986E9</v>
      </c>
      <c r="B261" s="4">
        <v>42468.0</v>
      </c>
      <c r="C261" s="5">
        <f t="shared" si="1"/>
        <v>42468</v>
      </c>
      <c r="D261" s="3">
        <v>5543.0</v>
      </c>
      <c r="E261" s="3">
        <v>3.72000002861023</v>
      </c>
      <c r="F261" s="3">
        <v>3.72000002861023</v>
      </c>
      <c r="G261" s="3">
        <v>0.0</v>
      </c>
      <c r="H261" s="3">
        <v>0.0</v>
      </c>
      <c r="I261" s="3">
        <v>0.0</v>
      </c>
      <c r="J261" s="3">
        <v>3.72000002861023</v>
      </c>
      <c r="K261" s="3">
        <v>0.0</v>
      </c>
      <c r="L261" s="3">
        <v>0.0</v>
      </c>
      <c r="M261" s="3">
        <v>0.0</v>
      </c>
      <c r="N261" s="3">
        <v>266.0</v>
      </c>
      <c r="O261" s="3">
        <v>941.0</v>
      </c>
      <c r="P261" s="3">
        <v>2303.0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">
        <v>4.445114986E9</v>
      </c>
      <c r="B262" s="4">
        <v>42469.0</v>
      </c>
      <c r="C262" s="5">
        <f t="shared" si="1"/>
        <v>42469</v>
      </c>
      <c r="D262" s="3">
        <v>4195.0</v>
      </c>
      <c r="E262" s="3">
        <v>2.80999994277954</v>
      </c>
      <c r="F262" s="3">
        <v>2.80999994277954</v>
      </c>
      <c r="G262" s="3">
        <v>0.0</v>
      </c>
      <c r="H262" s="3">
        <v>0.0</v>
      </c>
      <c r="I262" s="3">
        <v>0.0</v>
      </c>
      <c r="J262" s="3">
        <v>2.80999994277954</v>
      </c>
      <c r="K262" s="3">
        <v>0.0</v>
      </c>
      <c r="L262" s="3">
        <v>0.0</v>
      </c>
      <c r="M262" s="3">
        <v>0.0</v>
      </c>
      <c r="N262" s="3">
        <v>239.0</v>
      </c>
      <c r="O262" s="3">
        <v>758.0</v>
      </c>
      <c r="P262" s="3">
        <v>2210.0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">
        <v>4.445114986E9</v>
      </c>
      <c r="B263" s="4">
        <v>42470.0</v>
      </c>
      <c r="C263" s="5">
        <f t="shared" si="1"/>
        <v>42470</v>
      </c>
      <c r="D263" s="3">
        <v>6625.0</v>
      </c>
      <c r="E263" s="3">
        <v>4.44999980926514</v>
      </c>
      <c r="F263" s="3">
        <v>4.44999980926514</v>
      </c>
      <c r="G263" s="3">
        <v>0.0</v>
      </c>
      <c r="H263" s="3">
        <v>0.0</v>
      </c>
      <c r="I263" s="3">
        <v>0.0</v>
      </c>
      <c r="J263" s="3">
        <v>4.44999980926514</v>
      </c>
      <c r="K263" s="3">
        <v>0.0</v>
      </c>
      <c r="L263" s="3">
        <v>0.0</v>
      </c>
      <c r="M263" s="3">
        <v>0.0</v>
      </c>
      <c r="N263" s="3">
        <v>316.0</v>
      </c>
      <c r="O263" s="3">
        <v>755.0</v>
      </c>
      <c r="P263" s="3">
        <v>2424.0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">
        <v>4.445114986E9</v>
      </c>
      <c r="B264" s="4">
        <v>42471.0</v>
      </c>
      <c r="C264" s="5">
        <f t="shared" si="1"/>
        <v>42471</v>
      </c>
      <c r="D264" s="3">
        <v>5986.0</v>
      </c>
      <c r="E264" s="3">
        <v>4.13000011444092</v>
      </c>
      <c r="F264" s="3">
        <v>4.13000011444092</v>
      </c>
      <c r="G264" s="3">
        <v>0.0</v>
      </c>
      <c r="H264" s="3">
        <v>1.95000004768372</v>
      </c>
      <c r="I264" s="3">
        <v>0.230000004172325</v>
      </c>
      <c r="J264" s="3">
        <v>1.95000004768372</v>
      </c>
      <c r="K264" s="3">
        <v>0.0</v>
      </c>
      <c r="L264" s="3">
        <v>23.0</v>
      </c>
      <c r="M264" s="3">
        <v>5.0</v>
      </c>
      <c r="N264" s="3">
        <v>195.0</v>
      </c>
      <c r="O264" s="3">
        <v>789.0</v>
      </c>
      <c r="P264" s="3">
        <v>2297.0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">
        <v>4.445114986E9</v>
      </c>
      <c r="B265" s="4">
        <v>42472.0</v>
      </c>
      <c r="C265" s="5">
        <f t="shared" si="1"/>
        <v>42472</v>
      </c>
      <c r="D265" s="3">
        <v>278.0</v>
      </c>
      <c r="E265" s="3">
        <v>0.189999997615814</v>
      </c>
      <c r="F265" s="3">
        <v>0.189999997615814</v>
      </c>
      <c r="G265" s="3">
        <v>0.0</v>
      </c>
      <c r="H265" s="3">
        <v>0.0</v>
      </c>
      <c r="I265" s="3">
        <v>0.0</v>
      </c>
      <c r="J265" s="3">
        <v>0.189999997615814</v>
      </c>
      <c r="K265" s="3">
        <v>0.0</v>
      </c>
      <c r="L265" s="3">
        <v>0.0</v>
      </c>
      <c r="M265" s="3">
        <v>0.0</v>
      </c>
      <c r="N265" s="3">
        <v>20.0</v>
      </c>
      <c r="O265" s="3">
        <v>253.0</v>
      </c>
      <c r="P265" s="3">
        <v>745.0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">
        <v>4.558609924E9</v>
      </c>
      <c r="B266" s="4">
        <v>42461.0</v>
      </c>
      <c r="C266" s="5">
        <f t="shared" si="1"/>
        <v>42461</v>
      </c>
      <c r="D266" s="3">
        <v>5336.0</v>
      </c>
      <c r="E266" s="3">
        <v>3.52999997138977</v>
      </c>
      <c r="F266" s="3">
        <v>3.52999997138977</v>
      </c>
      <c r="G266" s="3">
        <v>0.0</v>
      </c>
      <c r="H266" s="3">
        <v>0.0</v>
      </c>
      <c r="I266" s="3">
        <v>0.0</v>
      </c>
      <c r="J266" s="3">
        <v>3.52999997138977</v>
      </c>
      <c r="K266" s="3">
        <v>0.0</v>
      </c>
      <c r="L266" s="3">
        <v>0.0</v>
      </c>
      <c r="M266" s="3">
        <v>0.0</v>
      </c>
      <c r="N266" s="3">
        <v>258.0</v>
      </c>
      <c r="O266" s="3">
        <v>1182.0</v>
      </c>
      <c r="P266" s="3">
        <v>1902.0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">
        <v>4.558609924E9</v>
      </c>
      <c r="B267" s="4">
        <v>42462.0</v>
      </c>
      <c r="C267" s="5">
        <f t="shared" si="1"/>
        <v>42462</v>
      </c>
      <c r="D267" s="3">
        <v>3183.0</v>
      </c>
      <c r="E267" s="3">
        <v>2.09999990463257</v>
      </c>
      <c r="F267" s="3">
        <v>2.09999990463257</v>
      </c>
      <c r="G267" s="3">
        <v>0.0</v>
      </c>
      <c r="H267" s="3">
        <v>0.0</v>
      </c>
      <c r="I267" s="3">
        <v>0.0</v>
      </c>
      <c r="J267" s="3">
        <v>2.09999990463257</v>
      </c>
      <c r="K267" s="3">
        <v>0.0</v>
      </c>
      <c r="L267" s="3">
        <v>0.0</v>
      </c>
      <c r="M267" s="3">
        <v>0.0</v>
      </c>
      <c r="N267" s="3">
        <v>173.0</v>
      </c>
      <c r="O267" s="3">
        <v>1180.0</v>
      </c>
      <c r="P267" s="3">
        <v>1680.0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">
        <v>4.558609924E9</v>
      </c>
      <c r="B268" s="4">
        <v>42463.0</v>
      </c>
      <c r="C268" s="5">
        <f t="shared" si="1"/>
        <v>42463</v>
      </c>
      <c r="D268" s="3">
        <v>6176.0</v>
      </c>
      <c r="E268" s="3">
        <v>4.07999992370605</v>
      </c>
      <c r="F268" s="3">
        <v>4.07999992370605</v>
      </c>
      <c r="G268" s="3">
        <v>0.0</v>
      </c>
      <c r="H268" s="3">
        <v>0.0700000002980232</v>
      </c>
      <c r="I268" s="3">
        <v>0.259999990463257</v>
      </c>
      <c r="J268" s="3">
        <v>3.75</v>
      </c>
      <c r="K268" s="3">
        <v>0.0</v>
      </c>
      <c r="L268" s="3">
        <v>1.0</v>
      </c>
      <c r="M268" s="3">
        <v>7.0</v>
      </c>
      <c r="N268" s="3">
        <v>269.0</v>
      </c>
      <c r="O268" s="3">
        <v>886.0</v>
      </c>
      <c r="P268" s="3">
        <v>1901.0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">
        <v>4.558609924E9</v>
      </c>
      <c r="B269" s="4">
        <v>42464.0</v>
      </c>
      <c r="C269" s="5">
        <f t="shared" si="1"/>
        <v>42464</v>
      </c>
      <c r="D269" s="3">
        <v>8205.0</v>
      </c>
      <c r="E269" s="3">
        <v>5.42000007629395</v>
      </c>
      <c r="F269" s="3">
        <v>5.42000007629395</v>
      </c>
      <c r="G269" s="3">
        <v>0.0</v>
      </c>
      <c r="H269" s="3">
        <v>0.0</v>
      </c>
      <c r="I269" s="3">
        <v>0.0</v>
      </c>
      <c r="J269" s="3">
        <v>5.42000007629395</v>
      </c>
      <c r="K269" s="3">
        <v>0.0</v>
      </c>
      <c r="L269" s="3">
        <v>0.0</v>
      </c>
      <c r="M269" s="3">
        <v>0.0</v>
      </c>
      <c r="N269" s="3">
        <v>367.0</v>
      </c>
      <c r="O269" s="3">
        <v>1073.0</v>
      </c>
      <c r="P269" s="3">
        <v>2078.0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">
        <v>4.558609924E9</v>
      </c>
      <c r="B270" s="4">
        <v>42465.0</v>
      </c>
      <c r="C270" s="5">
        <f t="shared" si="1"/>
        <v>42465</v>
      </c>
      <c r="D270" s="3">
        <v>6799.0</v>
      </c>
      <c r="E270" s="3">
        <v>4.48999977111816</v>
      </c>
      <c r="F270" s="3">
        <v>4.48999977111816</v>
      </c>
      <c r="G270" s="3">
        <v>0.0</v>
      </c>
      <c r="H270" s="3">
        <v>1.5900000333786</v>
      </c>
      <c r="I270" s="3">
        <v>0.860000014305115</v>
      </c>
      <c r="J270" s="3">
        <v>2.03999996185303</v>
      </c>
      <c r="K270" s="3">
        <v>0.0</v>
      </c>
      <c r="L270" s="3">
        <v>24.0</v>
      </c>
      <c r="M270" s="3">
        <v>14.0</v>
      </c>
      <c r="N270" s="3">
        <v>185.0</v>
      </c>
      <c r="O270" s="3">
        <v>1217.0</v>
      </c>
      <c r="P270" s="3">
        <v>1876.0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">
        <v>4.558609924E9</v>
      </c>
      <c r="B271" s="4">
        <v>42466.0</v>
      </c>
      <c r="C271" s="5">
        <f t="shared" si="1"/>
        <v>42466</v>
      </c>
      <c r="D271" s="3">
        <v>5668.0</v>
      </c>
      <c r="E271" s="3">
        <v>3.75</v>
      </c>
      <c r="F271" s="3">
        <v>3.75</v>
      </c>
      <c r="G271" s="3">
        <v>0.0</v>
      </c>
      <c r="H271" s="3">
        <v>0.0</v>
      </c>
      <c r="I271" s="3">
        <v>0.0</v>
      </c>
      <c r="J271" s="3">
        <v>3.75</v>
      </c>
      <c r="K271" s="3">
        <v>0.0</v>
      </c>
      <c r="L271" s="3">
        <v>0.0</v>
      </c>
      <c r="M271" s="3">
        <v>0.0</v>
      </c>
      <c r="N271" s="3">
        <v>259.0</v>
      </c>
      <c r="O271" s="3">
        <v>1181.0</v>
      </c>
      <c r="P271" s="3">
        <v>1853.0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">
        <v>4.558609924E9</v>
      </c>
      <c r="B272" s="4">
        <v>42467.0</v>
      </c>
      <c r="C272" s="5">
        <f t="shared" si="1"/>
        <v>42467</v>
      </c>
      <c r="D272" s="3">
        <v>7998.0</v>
      </c>
      <c r="E272" s="3">
        <v>5.28999996185303</v>
      </c>
      <c r="F272" s="3">
        <v>5.28999996185303</v>
      </c>
      <c r="G272" s="3">
        <v>0.0</v>
      </c>
      <c r="H272" s="3">
        <v>0.509999990463257</v>
      </c>
      <c r="I272" s="3">
        <v>0.25</v>
      </c>
      <c r="J272" s="3">
        <v>4.53000020980835</v>
      </c>
      <c r="K272" s="3">
        <v>0.0</v>
      </c>
      <c r="L272" s="3">
        <v>27.0</v>
      </c>
      <c r="M272" s="3">
        <v>12.0</v>
      </c>
      <c r="N272" s="3">
        <v>296.0</v>
      </c>
      <c r="O272" s="3">
        <v>1105.0</v>
      </c>
      <c r="P272" s="3">
        <v>2235.0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">
        <v>4.558609924E9</v>
      </c>
      <c r="B273" s="4">
        <v>42468.0</v>
      </c>
      <c r="C273" s="5">
        <f t="shared" si="1"/>
        <v>42468</v>
      </c>
      <c r="D273" s="3">
        <v>4195.0</v>
      </c>
      <c r="E273" s="3">
        <v>2.76999998092651</v>
      </c>
      <c r="F273" s="3">
        <v>2.76999998092651</v>
      </c>
      <c r="G273" s="3">
        <v>0.0</v>
      </c>
      <c r="H273" s="3">
        <v>0.0</v>
      </c>
      <c r="I273" s="3">
        <v>0.0</v>
      </c>
      <c r="J273" s="3">
        <v>2.76999998092651</v>
      </c>
      <c r="K273" s="3">
        <v>0.0</v>
      </c>
      <c r="L273" s="3">
        <v>0.0</v>
      </c>
      <c r="M273" s="3">
        <v>0.0</v>
      </c>
      <c r="N273" s="3">
        <v>241.0</v>
      </c>
      <c r="O273" s="3">
        <v>1199.0</v>
      </c>
      <c r="P273" s="3">
        <v>1778.0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">
        <v>4.558609924E9</v>
      </c>
      <c r="B274" s="4">
        <v>42469.0</v>
      </c>
      <c r="C274" s="5">
        <f t="shared" si="1"/>
        <v>42469</v>
      </c>
      <c r="D274" s="3">
        <v>5512.0</v>
      </c>
      <c r="E274" s="3">
        <v>3.64000010490417</v>
      </c>
      <c r="F274" s="3">
        <v>3.64000010490417</v>
      </c>
      <c r="G274" s="3">
        <v>0.0</v>
      </c>
      <c r="H274" s="3">
        <v>0.0</v>
      </c>
      <c r="I274" s="3">
        <v>0.0</v>
      </c>
      <c r="J274" s="3">
        <v>3.64000010490417</v>
      </c>
      <c r="K274" s="3">
        <v>0.0</v>
      </c>
      <c r="L274" s="3">
        <v>0.0</v>
      </c>
      <c r="M274" s="3">
        <v>0.0</v>
      </c>
      <c r="N274" s="3">
        <v>276.0</v>
      </c>
      <c r="O274" s="3">
        <v>1164.0</v>
      </c>
      <c r="P274" s="3">
        <v>1882.0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">
        <v>4.558609924E9</v>
      </c>
      <c r="B275" s="4">
        <v>42470.0</v>
      </c>
      <c r="C275" s="5">
        <f t="shared" si="1"/>
        <v>42470</v>
      </c>
      <c r="D275" s="3">
        <v>6263.0</v>
      </c>
      <c r="E275" s="3">
        <v>4.1399998664856</v>
      </c>
      <c r="F275" s="3">
        <v>4.1399998664856</v>
      </c>
      <c r="G275" s="3">
        <v>0.0</v>
      </c>
      <c r="H275" s="3">
        <v>0.0</v>
      </c>
      <c r="I275" s="3">
        <v>0.0</v>
      </c>
      <c r="J275" s="3">
        <v>4.13000011444092</v>
      </c>
      <c r="K275" s="3">
        <v>0.0</v>
      </c>
      <c r="L275" s="3">
        <v>0.0</v>
      </c>
      <c r="M275" s="3">
        <v>0.0</v>
      </c>
      <c r="N275" s="3">
        <v>290.0</v>
      </c>
      <c r="O275" s="3">
        <v>1150.0</v>
      </c>
      <c r="P275" s="3">
        <v>1906.0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">
        <v>4.558609924E9</v>
      </c>
      <c r="B276" s="4">
        <v>42471.0</v>
      </c>
      <c r="C276" s="5">
        <f t="shared" si="1"/>
        <v>42471</v>
      </c>
      <c r="D276" s="3">
        <v>8828.0</v>
      </c>
      <c r="E276" s="3">
        <v>5.84000015258789</v>
      </c>
      <c r="F276" s="3">
        <v>5.84000015258789</v>
      </c>
      <c r="G276" s="3">
        <v>0.0</v>
      </c>
      <c r="H276" s="3">
        <v>0.0</v>
      </c>
      <c r="I276" s="3">
        <v>0.0</v>
      </c>
      <c r="J276" s="3">
        <v>5.84000015258789</v>
      </c>
      <c r="K276" s="3">
        <v>0.0</v>
      </c>
      <c r="L276" s="3">
        <v>0.0</v>
      </c>
      <c r="M276" s="3">
        <v>0.0</v>
      </c>
      <c r="N276" s="3">
        <v>308.0</v>
      </c>
      <c r="O276" s="3">
        <v>1132.0</v>
      </c>
      <c r="P276" s="3">
        <v>2149.0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">
        <v>4.558609924E9</v>
      </c>
      <c r="B277" s="4">
        <v>42472.0</v>
      </c>
      <c r="C277" s="5">
        <f t="shared" si="1"/>
        <v>42472</v>
      </c>
      <c r="D277" s="3">
        <v>1260.0</v>
      </c>
      <c r="E277" s="3">
        <v>0.829999983310699</v>
      </c>
      <c r="F277" s="3">
        <v>0.829999983310699</v>
      </c>
      <c r="G277" s="3">
        <v>0.0</v>
      </c>
      <c r="H277" s="3">
        <v>0.0</v>
      </c>
      <c r="I277" s="3">
        <v>0.0</v>
      </c>
      <c r="J277" s="3">
        <v>0.819999992847443</v>
      </c>
      <c r="K277" s="3">
        <v>0.0</v>
      </c>
      <c r="L277" s="3">
        <v>0.0</v>
      </c>
      <c r="M277" s="3">
        <v>0.0</v>
      </c>
      <c r="N277" s="3">
        <v>76.0</v>
      </c>
      <c r="O277" s="3">
        <v>555.0</v>
      </c>
      <c r="P277" s="3">
        <v>722.0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">
        <v>4.702921684E9</v>
      </c>
      <c r="B278" s="4">
        <v>42458.0</v>
      </c>
      <c r="C278" s="5">
        <f t="shared" si="1"/>
        <v>42458</v>
      </c>
      <c r="D278" s="3">
        <v>6506.0</v>
      </c>
      <c r="E278" s="3">
        <v>5.28000020980835</v>
      </c>
      <c r="F278" s="3">
        <v>5.28000020980835</v>
      </c>
      <c r="G278" s="3">
        <v>0.0</v>
      </c>
      <c r="H278" s="3">
        <v>0.330000013113022</v>
      </c>
      <c r="I278" s="3">
        <v>0.270000010728836</v>
      </c>
      <c r="J278" s="3">
        <v>4.67000007629395</v>
      </c>
      <c r="K278" s="3">
        <v>0.0</v>
      </c>
      <c r="L278" s="3">
        <v>4.0</v>
      </c>
      <c r="M278" s="3">
        <v>5.0</v>
      </c>
      <c r="N278" s="3">
        <v>241.0</v>
      </c>
      <c r="O278" s="3">
        <v>760.0</v>
      </c>
      <c r="P278" s="3">
        <v>2886.0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">
        <v>4.702921684E9</v>
      </c>
      <c r="B279" s="4">
        <v>42459.0</v>
      </c>
      <c r="C279" s="5">
        <f t="shared" si="1"/>
        <v>42459</v>
      </c>
      <c r="D279" s="3">
        <v>7583.0</v>
      </c>
      <c r="E279" s="3">
        <v>6.15000009536743</v>
      </c>
      <c r="F279" s="3">
        <v>6.15000009536743</v>
      </c>
      <c r="G279" s="3">
        <v>0.0</v>
      </c>
      <c r="H279" s="3">
        <v>0.25</v>
      </c>
      <c r="I279" s="3">
        <v>0.550000011920929</v>
      </c>
      <c r="J279" s="3">
        <v>5.34999990463257</v>
      </c>
      <c r="K279" s="3">
        <v>0.0</v>
      </c>
      <c r="L279" s="3">
        <v>3.0</v>
      </c>
      <c r="M279" s="3">
        <v>13.0</v>
      </c>
      <c r="N279" s="3">
        <v>227.0</v>
      </c>
      <c r="O279" s="3">
        <v>742.0</v>
      </c>
      <c r="P279" s="3">
        <v>2915.0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">
        <v>4.702921684E9</v>
      </c>
      <c r="B280" s="4">
        <v>42460.0</v>
      </c>
      <c r="C280" s="5">
        <f t="shared" si="1"/>
        <v>42460</v>
      </c>
      <c r="D280" s="3">
        <v>6963.0</v>
      </c>
      <c r="E280" s="3">
        <v>5.65000009536743</v>
      </c>
      <c r="F280" s="3">
        <v>5.65000009536743</v>
      </c>
      <c r="G280" s="3">
        <v>0.0</v>
      </c>
      <c r="H280" s="3">
        <v>0.0</v>
      </c>
      <c r="I280" s="3">
        <v>0.0</v>
      </c>
      <c r="J280" s="3">
        <v>5.65000009536743</v>
      </c>
      <c r="K280" s="3">
        <v>0.0</v>
      </c>
      <c r="L280" s="3">
        <v>0.0</v>
      </c>
      <c r="M280" s="3">
        <v>0.0</v>
      </c>
      <c r="N280" s="3">
        <v>256.0</v>
      </c>
      <c r="O280" s="3">
        <v>759.0</v>
      </c>
      <c r="P280" s="3">
        <v>2895.0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">
        <v>4.702921684E9</v>
      </c>
      <c r="B281" s="4">
        <v>42461.0</v>
      </c>
      <c r="C281" s="5">
        <f t="shared" si="1"/>
        <v>42461</v>
      </c>
      <c r="D281" s="3">
        <v>7165.0</v>
      </c>
      <c r="E281" s="3">
        <v>5.80999994277954</v>
      </c>
      <c r="F281" s="3">
        <v>5.80999994277954</v>
      </c>
      <c r="G281" s="3">
        <v>0.0</v>
      </c>
      <c r="H281" s="3">
        <v>0.0</v>
      </c>
      <c r="I281" s="3">
        <v>0.370000004768372</v>
      </c>
      <c r="J281" s="3">
        <v>5.44000005722046</v>
      </c>
      <c r="K281" s="3">
        <v>0.0</v>
      </c>
      <c r="L281" s="3">
        <v>0.0</v>
      </c>
      <c r="M281" s="3">
        <v>9.0</v>
      </c>
      <c r="N281" s="3">
        <v>248.0</v>
      </c>
      <c r="O281" s="3">
        <v>708.0</v>
      </c>
      <c r="P281" s="3">
        <v>2923.0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">
        <v>4.702921684E9</v>
      </c>
      <c r="B282" s="4">
        <v>42462.0</v>
      </c>
      <c r="C282" s="5">
        <f t="shared" si="1"/>
        <v>42462</v>
      </c>
      <c r="D282" s="3">
        <v>10328.0</v>
      </c>
      <c r="E282" s="3">
        <v>8.38000011444092</v>
      </c>
      <c r="F282" s="3">
        <v>8.38000011444092</v>
      </c>
      <c r="G282" s="3">
        <v>0.0</v>
      </c>
      <c r="H282" s="3">
        <v>0.0</v>
      </c>
      <c r="I282" s="3">
        <v>1.46000003814697</v>
      </c>
      <c r="J282" s="3">
        <v>6.92000007629395</v>
      </c>
      <c r="K282" s="3">
        <v>0.0</v>
      </c>
      <c r="L282" s="3">
        <v>0.0</v>
      </c>
      <c r="M282" s="3">
        <v>32.0</v>
      </c>
      <c r="N282" s="3">
        <v>367.0</v>
      </c>
      <c r="O282" s="3">
        <v>475.0</v>
      </c>
      <c r="P282" s="3">
        <v>3323.0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">
        <v>4.702921684E9</v>
      </c>
      <c r="B283" s="4">
        <v>42463.0</v>
      </c>
      <c r="C283" s="5">
        <f t="shared" si="1"/>
        <v>42463</v>
      </c>
      <c r="D283" s="3">
        <v>12116.0</v>
      </c>
      <c r="E283" s="3">
        <v>9.82999992370605</v>
      </c>
      <c r="F283" s="3">
        <v>9.82999992370605</v>
      </c>
      <c r="G283" s="3">
        <v>0.0</v>
      </c>
      <c r="H283" s="3">
        <v>0.25</v>
      </c>
      <c r="I283" s="3">
        <v>2.84999990463257</v>
      </c>
      <c r="J283" s="3">
        <v>6.71999979019165</v>
      </c>
      <c r="K283" s="3">
        <v>0.0</v>
      </c>
      <c r="L283" s="3">
        <v>3.0</v>
      </c>
      <c r="M283" s="3">
        <v>57.0</v>
      </c>
      <c r="N283" s="3">
        <v>323.0</v>
      </c>
      <c r="O283" s="3">
        <v>471.0</v>
      </c>
      <c r="P283" s="3">
        <v>3357.0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">
        <v>4.702921684E9</v>
      </c>
      <c r="B284" s="4">
        <v>42464.0</v>
      </c>
      <c r="C284" s="5">
        <f t="shared" si="1"/>
        <v>42464</v>
      </c>
      <c r="D284" s="3">
        <v>7810.0</v>
      </c>
      <c r="E284" s="3">
        <v>6.3600001335144</v>
      </c>
      <c r="F284" s="3">
        <v>6.3600001335144</v>
      </c>
      <c r="G284" s="3">
        <v>0.0</v>
      </c>
      <c r="H284" s="3">
        <v>0.479999989271164</v>
      </c>
      <c r="I284" s="3">
        <v>1.20000004768372</v>
      </c>
      <c r="J284" s="3">
        <v>4.67999982833862</v>
      </c>
      <c r="K284" s="3">
        <v>0.0</v>
      </c>
      <c r="L284" s="3">
        <v>6.0</v>
      </c>
      <c r="M284" s="3">
        <v>27.0</v>
      </c>
      <c r="N284" s="3">
        <v>216.0</v>
      </c>
      <c r="O284" s="3">
        <v>746.0</v>
      </c>
      <c r="P284" s="3">
        <v>2931.0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">
        <v>4.702921684E9</v>
      </c>
      <c r="B285" s="4">
        <v>42465.0</v>
      </c>
      <c r="C285" s="5">
        <f t="shared" si="1"/>
        <v>42465</v>
      </c>
      <c r="D285" s="3">
        <v>6670.0</v>
      </c>
      <c r="E285" s="3">
        <v>5.40999984741211</v>
      </c>
      <c r="F285" s="3">
        <v>5.40999984741211</v>
      </c>
      <c r="G285" s="3">
        <v>0.0</v>
      </c>
      <c r="H285" s="3">
        <v>1.24000000953674</v>
      </c>
      <c r="I285" s="3">
        <v>0.800000011920929</v>
      </c>
      <c r="J285" s="3">
        <v>3.36999988555908</v>
      </c>
      <c r="K285" s="3">
        <v>0.0</v>
      </c>
      <c r="L285" s="3">
        <v>15.0</v>
      </c>
      <c r="M285" s="3">
        <v>16.0</v>
      </c>
      <c r="N285" s="3">
        <v>199.0</v>
      </c>
      <c r="O285" s="3">
        <v>770.0</v>
      </c>
      <c r="P285" s="3">
        <v>2848.0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">
        <v>4.702921684E9</v>
      </c>
      <c r="B286" s="4">
        <v>42466.0</v>
      </c>
      <c r="C286" s="5">
        <f t="shared" si="1"/>
        <v>42466</v>
      </c>
      <c r="D286" s="3">
        <v>7605.0</v>
      </c>
      <c r="E286" s="3">
        <v>6.17999982833862</v>
      </c>
      <c r="F286" s="3">
        <v>6.17999982833862</v>
      </c>
      <c r="G286" s="3">
        <v>0.0</v>
      </c>
      <c r="H286" s="3">
        <v>0.330000013113022</v>
      </c>
      <c r="I286" s="3">
        <v>0.209999993443489</v>
      </c>
      <c r="J286" s="3">
        <v>5.63000011444092</v>
      </c>
      <c r="K286" s="3">
        <v>0.0</v>
      </c>
      <c r="L286" s="3">
        <v>4.0</v>
      </c>
      <c r="M286" s="3">
        <v>4.0</v>
      </c>
      <c r="N286" s="3">
        <v>248.0</v>
      </c>
      <c r="O286" s="3">
        <v>708.0</v>
      </c>
      <c r="P286" s="3">
        <v>2943.0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">
        <v>4.702921684E9</v>
      </c>
      <c r="B287" s="4">
        <v>42467.0</v>
      </c>
      <c r="C287" s="5">
        <f t="shared" si="1"/>
        <v>42467</v>
      </c>
      <c r="D287" s="3">
        <v>6585.0</v>
      </c>
      <c r="E287" s="3">
        <v>5.34000015258789</v>
      </c>
      <c r="F287" s="3">
        <v>5.34000015258789</v>
      </c>
      <c r="G287" s="3">
        <v>0.0</v>
      </c>
      <c r="H287" s="3">
        <v>0.0</v>
      </c>
      <c r="I287" s="3">
        <v>0.0</v>
      </c>
      <c r="J287" s="3">
        <v>5.34000015258789</v>
      </c>
      <c r="K287" s="3">
        <v>0.0</v>
      </c>
      <c r="L287" s="3">
        <v>0.0</v>
      </c>
      <c r="M287" s="3">
        <v>0.0</v>
      </c>
      <c r="N287" s="3">
        <v>210.0</v>
      </c>
      <c r="O287" s="3">
        <v>770.0</v>
      </c>
      <c r="P287" s="3">
        <v>2822.0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">
        <v>4.702921684E9</v>
      </c>
      <c r="B288" s="4">
        <v>42468.0</v>
      </c>
      <c r="C288" s="5">
        <f t="shared" si="1"/>
        <v>42468</v>
      </c>
      <c r="D288" s="3">
        <v>8184.0</v>
      </c>
      <c r="E288" s="3">
        <v>6.6399998664856</v>
      </c>
      <c r="F288" s="3">
        <v>6.6399998664856</v>
      </c>
      <c r="G288" s="3">
        <v>0.0</v>
      </c>
      <c r="H288" s="3">
        <v>0.0</v>
      </c>
      <c r="I288" s="3">
        <v>0.620000004768372</v>
      </c>
      <c r="J288" s="3">
        <v>5.94999980926514</v>
      </c>
      <c r="K288" s="3">
        <v>0.0</v>
      </c>
      <c r="L288" s="3">
        <v>0.0</v>
      </c>
      <c r="M288" s="3">
        <v>15.0</v>
      </c>
      <c r="N288" s="3">
        <v>247.0</v>
      </c>
      <c r="O288" s="3">
        <v>808.0</v>
      </c>
      <c r="P288" s="3">
        <v>2981.0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">
        <v>4.702921684E9</v>
      </c>
      <c r="B289" s="4">
        <v>42469.0</v>
      </c>
      <c r="C289" s="5">
        <f t="shared" si="1"/>
        <v>42469</v>
      </c>
      <c r="D289" s="3">
        <v>14002.0</v>
      </c>
      <c r="E289" s="3">
        <v>11.3599996566772</v>
      </c>
      <c r="F289" s="3">
        <v>11.3599996566772</v>
      </c>
      <c r="G289" s="3">
        <v>0.0</v>
      </c>
      <c r="H289" s="3">
        <v>0.610000014305115</v>
      </c>
      <c r="I289" s="3">
        <v>2.6800000667572</v>
      </c>
      <c r="J289" s="3">
        <v>8.0600004196167</v>
      </c>
      <c r="K289" s="3">
        <v>0.0</v>
      </c>
      <c r="L289" s="3">
        <v>8.0</v>
      </c>
      <c r="M289" s="3">
        <v>56.0</v>
      </c>
      <c r="N289" s="3">
        <v>381.0</v>
      </c>
      <c r="O289" s="3">
        <v>407.0</v>
      </c>
      <c r="P289" s="3">
        <v>3597.0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">
        <v>4.702921684E9</v>
      </c>
      <c r="B290" s="4">
        <v>42470.0</v>
      </c>
      <c r="C290" s="5">
        <f t="shared" si="1"/>
        <v>42470</v>
      </c>
      <c r="D290" s="3">
        <v>11135.0</v>
      </c>
      <c r="E290" s="3">
        <v>9.02999973297119</v>
      </c>
      <c r="F290" s="3">
        <v>9.02999973297119</v>
      </c>
      <c r="G290" s="3">
        <v>0.0</v>
      </c>
      <c r="H290" s="3">
        <v>0.0799999982118607</v>
      </c>
      <c r="I290" s="3">
        <v>1.1599999666214</v>
      </c>
      <c r="J290" s="3">
        <v>7.78999996185303</v>
      </c>
      <c r="K290" s="3">
        <v>0.0</v>
      </c>
      <c r="L290" s="3">
        <v>1.0</v>
      </c>
      <c r="M290" s="3">
        <v>25.0</v>
      </c>
      <c r="N290" s="3">
        <v>331.0</v>
      </c>
      <c r="O290" s="3">
        <v>528.0</v>
      </c>
      <c r="P290" s="3">
        <v>3224.0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">
        <v>4.702921684E9</v>
      </c>
      <c r="B291" s="4">
        <v>42471.0</v>
      </c>
      <c r="C291" s="5">
        <f t="shared" si="1"/>
        <v>42471</v>
      </c>
      <c r="D291" s="3">
        <v>6499.0</v>
      </c>
      <c r="E291" s="3">
        <v>5.26999998092651</v>
      </c>
      <c r="F291" s="3">
        <v>5.26999998092651</v>
      </c>
      <c r="G291" s="3">
        <v>0.0</v>
      </c>
      <c r="H291" s="3">
        <v>0.0</v>
      </c>
      <c r="I291" s="3">
        <v>0.0</v>
      </c>
      <c r="J291" s="3">
        <v>5.26999998092651</v>
      </c>
      <c r="K291" s="3">
        <v>0.0</v>
      </c>
      <c r="L291" s="3">
        <v>0.0</v>
      </c>
      <c r="M291" s="3">
        <v>0.0</v>
      </c>
      <c r="N291" s="3">
        <v>207.0</v>
      </c>
      <c r="O291" s="3">
        <v>809.0</v>
      </c>
      <c r="P291" s="3">
        <v>2677.0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">
        <v>4.702921684E9</v>
      </c>
      <c r="B292" s="4">
        <v>42472.0</v>
      </c>
      <c r="C292" s="5">
        <f t="shared" si="1"/>
        <v>42472</v>
      </c>
      <c r="D292" s="3">
        <v>0.0</v>
      </c>
      <c r="E292" s="3">
        <v>0.0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1440.0</v>
      </c>
      <c r="P292" s="3">
        <v>0.0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">
        <v>5.553957443E9</v>
      </c>
      <c r="B293" s="4">
        <v>42461.0</v>
      </c>
      <c r="C293" s="5">
        <f t="shared" si="1"/>
        <v>42461</v>
      </c>
      <c r="D293" s="3">
        <v>12409.0</v>
      </c>
      <c r="E293" s="3">
        <v>8.10000038146973</v>
      </c>
      <c r="F293" s="3">
        <v>8.10000038146973</v>
      </c>
      <c r="G293" s="3">
        <v>0.0</v>
      </c>
      <c r="H293" s="3">
        <v>2.90000009536743</v>
      </c>
      <c r="I293" s="3">
        <v>0.629999995231628</v>
      </c>
      <c r="J293" s="3">
        <v>4.57999992370605</v>
      </c>
      <c r="K293" s="3">
        <v>0.0</v>
      </c>
      <c r="L293" s="3">
        <v>51.0</v>
      </c>
      <c r="M293" s="3">
        <v>12.0</v>
      </c>
      <c r="N293" s="3">
        <v>235.0</v>
      </c>
      <c r="O293" s="3">
        <v>782.0</v>
      </c>
      <c r="P293" s="3">
        <v>2142.0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">
        <v>5.553957443E9</v>
      </c>
      <c r="B294" s="4">
        <v>42462.0</v>
      </c>
      <c r="C294" s="5">
        <f t="shared" si="1"/>
        <v>42462</v>
      </c>
      <c r="D294" s="3">
        <v>2937.0</v>
      </c>
      <c r="E294" s="3">
        <v>1.91999995708466</v>
      </c>
      <c r="F294" s="3">
        <v>1.91999995708466</v>
      </c>
      <c r="G294" s="3">
        <v>0.0</v>
      </c>
      <c r="H294" s="3">
        <v>0.0</v>
      </c>
      <c r="I294" s="3">
        <v>0.0</v>
      </c>
      <c r="J294" s="3">
        <v>1.9099999666214</v>
      </c>
      <c r="K294" s="3">
        <v>0.0</v>
      </c>
      <c r="L294" s="3">
        <v>0.0</v>
      </c>
      <c r="M294" s="3">
        <v>0.0</v>
      </c>
      <c r="N294" s="3">
        <v>181.0</v>
      </c>
      <c r="O294" s="3">
        <v>356.0</v>
      </c>
      <c r="P294" s="3">
        <v>1615.0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">
        <v>5.553957443E9</v>
      </c>
      <c r="B295" s="4">
        <v>42463.0</v>
      </c>
      <c r="C295" s="5">
        <f t="shared" si="1"/>
        <v>42463</v>
      </c>
      <c r="D295" s="3">
        <v>1515.0</v>
      </c>
      <c r="E295" s="3">
        <v>0.990000009536743</v>
      </c>
      <c r="F295" s="3">
        <v>0.990000009536743</v>
      </c>
      <c r="G295" s="3">
        <v>0.0</v>
      </c>
      <c r="H295" s="3">
        <v>0.0</v>
      </c>
      <c r="I295" s="3">
        <v>0.0</v>
      </c>
      <c r="J295" s="3">
        <v>0.990000009536743</v>
      </c>
      <c r="K295" s="3">
        <v>0.0</v>
      </c>
      <c r="L295" s="3">
        <v>0.0</v>
      </c>
      <c r="M295" s="3">
        <v>0.0</v>
      </c>
      <c r="N295" s="3">
        <v>93.0</v>
      </c>
      <c r="O295" s="3">
        <v>507.0</v>
      </c>
      <c r="P295" s="3">
        <v>1481.0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">
        <v>5.553957443E9</v>
      </c>
      <c r="B296" s="4">
        <v>42464.0</v>
      </c>
      <c r="C296" s="5">
        <f t="shared" si="1"/>
        <v>42464</v>
      </c>
      <c r="D296" s="3">
        <v>8921.0</v>
      </c>
      <c r="E296" s="3">
        <v>5.88000011444092</v>
      </c>
      <c r="F296" s="3">
        <v>5.88000011444092</v>
      </c>
      <c r="G296" s="3">
        <v>0.0</v>
      </c>
      <c r="H296" s="3">
        <v>2.0699999332428</v>
      </c>
      <c r="I296" s="3">
        <v>0.439999997615814</v>
      </c>
      <c r="J296" s="3">
        <v>3.35999989509583</v>
      </c>
      <c r="K296" s="3">
        <v>0.0</v>
      </c>
      <c r="L296" s="3">
        <v>27.0</v>
      </c>
      <c r="M296" s="3">
        <v>8.0</v>
      </c>
      <c r="N296" s="3">
        <v>198.0</v>
      </c>
      <c r="O296" s="3">
        <v>754.0</v>
      </c>
      <c r="P296" s="3">
        <v>1892.0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">
        <v>5.553957443E9</v>
      </c>
      <c r="B297" s="4">
        <v>42465.0</v>
      </c>
      <c r="C297" s="5">
        <f t="shared" si="1"/>
        <v>42465</v>
      </c>
      <c r="D297" s="3">
        <v>11306.0</v>
      </c>
      <c r="E297" s="3">
        <v>7.38000011444092</v>
      </c>
      <c r="F297" s="3">
        <v>7.38000011444092</v>
      </c>
      <c r="G297" s="3">
        <v>0.0</v>
      </c>
      <c r="H297" s="3">
        <v>2.30999994277954</v>
      </c>
      <c r="I297" s="3">
        <v>0.980000019073486</v>
      </c>
      <c r="J297" s="3">
        <v>4.09000015258789</v>
      </c>
      <c r="K297" s="3">
        <v>0.0</v>
      </c>
      <c r="L297" s="3">
        <v>40.0</v>
      </c>
      <c r="M297" s="3">
        <v>26.0</v>
      </c>
      <c r="N297" s="3">
        <v>218.0</v>
      </c>
      <c r="O297" s="3">
        <v>772.0</v>
      </c>
      <c r="P297" s="3">
        <v>2086.0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">
        <v>5.553957443E9</v>
      </c>
      <c r="B298" s="4">
        <v>42466.0</v>
      </c>
      <c r="C298" s="5">
        <f t="shared" si="1"/>
        <v>42466</v>
      </c>
      <c r="D298" s="3">
        <v>12252.0</v>
      </c>
      <c r="E298" s="3">
        <v>8.0</v>
      </c>
      <c r="F298" s="3">
        <v>8.0</v>
      </c>
      <c r="G298" s="3">
        <v>0.0</v>
      </c>
      <c r="H298" s="3">
        <v>2.41000008583069</v>
      </c>
      <c r="I298" s="3">
        <v>1.70000004768372</v>
      </c>
      <c r="J298" s="3">
        <v>3.89000010490417</v>
      </c>
      <c r="K298" s="3">
        <v>0.0</v>
      </c>
      <c r="L298" s="3">
        <v>33.0</v>
      </c>
      <c r="M298" s="3">
        <v>28.0</v>
      </c>
      <c r="N298" s="3">
        <v>229.0</v>
      </c>
      <c r="O298" s="3">
        <v>745.0</v>
      </c>
      <c r="P298" s="3">
        <v>2044.0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">
        <v>5.553957443E9</v>
      </c>
      <c r="B299" s="4">
        <v>42467.0</v>
      </c>
      <c r="C299" s="5">
        <f t="shared" si="1"/>
        <v>42467</v>
      </c>
      <c r="D299" s="3">
        <v>15444.0</v>
      </c>
      <c r="E299" s="3">
        <v>10.0799999237061</v>
      </c>
      <c r="F299" s="3">
        <v>10.0799999237061</v>
      </c>
      <c r="G299" s="3">
        <v>0.0</v>
      </c>
      <c r="H299" s="3">
        <v>3.26999998092651</v>
      </c>
      <c r="I299" s="3">
        <v>1.73000001907349</v>
      </c>
      <c r="J299" s="3">
        <v>5.07999992370605</v>
      </c>
      <c r="K299" s="3">
        <v>0.0</v>
      </c>
      <c r="L299" s="3">
        <v>51.0</v>
      </c>
      <c r="M299" s="3">
        <v>39.0</v>
      </c>
      <c r="N299" s="3">
        <v>243.0</v>
      </c>
      <c r="O299" s="3">
        <v>731.0</v>
      </c>
      <c r="P299" s="3">
        <v>2249.0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">
        <v>5.553957443E9</v>
      </c>
      <c r="B300" s="4">
        <v>42468.0</v>
      </c>
      <c r="C300" s="5">
        <f t="shared" si="1"/>
        <v>42468</v>
      </c>
      <c r="D300" s="3">
        <v>9938.0</v>
      </c>
      <c r="E300" s="3">
        <v>6.48999977111816</v>
      </c>
      <c r="F300" s="3">
        <v>6.48999977111816</v>
      </c>
      <c r="G300" s="3">
        <v>0.0</v>
      </c>
      <c r="H300" s="3">
        <v>2.14000010490417</v>
      </c>
      <c r="I300" s="3">
        <v>1.27999997138977</v>
      </c>
      <c r="J300" s="3">
        <v>3.07999992370605</v>
      </c>
      <c r="K300" s="3">
        <v>0.0</v>
      </c>
      <c r="L300" s="3">
        <v>38.0</v>
      </c>
      <c r="M300" s="3">
        <v>24.0</v>
      </c>
      <c r="N300" s="3">
        <v>193.0</v>
      </c>
      <c r="O300" s="3">
        <v>767.0</v>
      </c>
      <c r="P300" s="3">
        <v>2019.0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">
        <v>5.553957443E9</v>
      </c>
      <c r="B301" s="4">
        <v>42469.0</v>
      </c>
      <c r="C301" s="5">
        <f t="shared" si="1"/>
        <v>42469</v>
      </c>
      <c r="D301" s="3">
        <v>4599.0</v>
      </c>
      <c r="E301" s="3">
        <v>3.0</v>
      </c>
      <c r="F301" s="3">
        <v>3.0</v>
      </c>
      <c r="G301" s="3">
        <v>0.0</v>
      </c>
      <c r="H301" s="3">
        <v>0.0</v>
      </c>
      <c r="I301" s="3">
        <v>0.0</v>
      </c>
      <c r="J301" s="3">
        <v>3.0</v>
      </c>
      <c r="K301" s="3">
        <v>0.0</v>
      </c>
      <c r="L301" s="3">
        <v>0.0</v>
      </c>
      <c r="M301" s="3">
        <v>0.0</v>
      </c>
      <c r="N301" s="3">
        <v>176.0</v>
      </c>
      <c r="O301" s="3">
        <v>578.0</v>
      </c>
      <c r="P301" s="3">
        <v>1692.0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">
        <v>5.553957443E9</v>
      </c>
      <c r="B302" s="4">
        <v>42470.0</v>
      </c>
      <c r="C302" s="5">
        <f t="shared" si="1"/>
        <v>42470</v>
      </c>
      <c r="D302" s="3">
        <v>5594.0</v>
      </c>
      <c r="E302" s="3">
        <v>3.65000009536743</v>
      </c>
      <c r="F302" s="3">
        <v>3.65000009536743</v>
      </c>
      <c r="G302" s="3">
        <v>0.0</v>
      </c>
      <c r="H302" s="3">
        <v>0.280000001192093</v>
      </c>
      <c r="I302" s="3">
        <v>1.48000001907349</v>
      </c>
      <c r="J302" s="3">
        <v>1.88999998569489</v>
      </c>
      <c r="K302" s="3">
        <v>0.0</v>
      </c>
      <c r="L302" s="3">
        <v>4.0</v>
      </c>
      <c r="M302" s="3">
        <v>25.0</v>
      </c>
      <c r="N302" s="3">
        <v>150.0</v>
      </c>
      <c r="O302" s="3">
        <v>552.0</v>
      </c>
      <c r="P302" s="3">
        <v>1712.0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">
        <v>5.553957443E9</v>
      </c>
      <c r="B303" s="4">
        <v>42471.0</v>
      </c>
      <c r="C303" s="5">
        <f t="shared" si="1"/>
        <v>42471</v>
      </c>
      <c r="D303" s="3">
        <v>11906.0</v>
      </c>
      <c r="E303" s="3">
        <v>7.76999998092651</v>
      </c>
      <c r="F303" s="3">
        <v>7.76999998092651</v>
      </c>
      <c r="G303" s="3">
        <v>0.0</v>
      </c>
      <c r="H303" s="3">
        <v>2.25999999046326</v>
      </c>
      <c r="I303" s="3">
        <v>1.51999998092651</v>
      </c>
      <c r="J303" s="3">
        <v>3.99000000953674</v>
      </c>
      <c r="K303" s="3">
        <v>0.0</v>
      </c>
      <c r="L303" s="3">
        <v>32.0</v>
      </c>
      <c r="M303" s="3">
        <v>27.0</v>
      </c>
      <c r="N303" s="3">
        <v>234.0</v>
      </c>
      <c r="O303" s="3">
        <v>688.0</v>
      </c>
      <c r="P303" s="3">
        <v>2065.0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">
        <v>5.553957443E9</v>
      </c>
      <c r="B304" s="4">
        <v>42472.0</v>
      </c>
      <c r="C304" s="5">
        <f t="shared" si="1"/>
        <v>42472</v>
      </c>
      <c r="D304" s="3">
        <v>3436.0</v>
      </c>
      <c r="E304" s="3">
        <v>2.24000000953674</v>
      </c>
      <c r="F304" s="3">
        <v>2.24000000953674</v>
      </c>
      <c r="G304" s="3">
        <v>0.0</v>
      </c>
      <c r="H304" s="3">
        <v>0.5</v>
      </c>
      <c r="I304" s="3">
        <v>0.670000016689301</v>
      </c>
      <c r="J304" s="3">
        <v>1.04999995231628</v>
      </c>
      <c r="K304" s="3">
        <v>0.0</v>
      </c>
      <c r="L304" s="3">
        <v>7.0</v>
      </c>
      <c r="M304" s="3">
        <v>11.0</v>
      </c>
      <c r="N304" s="3">
        <v>50.0</v>
      </c>
      <c r="O304" s="3">
        <v>61.0</v>
      </c>
      <c r="P304" s="3">
        <v>633.0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">
        <v>5.577150313E9</v>
      </c>
      <c r="B305" s="4">
        <v>42461.0</v>
      </c>
      <c r="C305" s="5">
        <f t="shared" si="1"/>
        <v>42461</v>
      </c>
      <c r="D305" s="3">
        <v>10461.0</v>
      </c>
      <c r="E305" s="3">
        <v>7.86999988555908</v>
      </c>
      <c r="F305" s="3">
        <v>7.86999988555908</v>
      </c>
      <c r="G305" s="3">
        <v>0.0</v>
      </c>
      <c r="H305" s="3">
        <v>4.76000022888184</v>
      </c>
      <c r="I305" s="3">
        <v>0.850000023841858</v>
      </c>
      <c r="J305" s="3">
        <v>2.25</v>
      </c>
      <c r="K305" s="3">
        <v>0.0</v>
      </c>
      <c r="L305" s="3">
        <v>99.0</v>
      </c>
      <c r="M305" s="3">
        <v>31.0</v>
      </c>
      <c r="N305" s="3">
        <v>142.0</v>
      </c>
      <c r="O305" s="3">
        <v>721.0</v>
      </c>
      <c r="P305" s="3">
        <v>3625.0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">
        <v>5.577150313E9</v>
      </c>
      <c r="B306" s="4">
        <v>42462.0</v>
      </c>
      <c r="C306" s="5">
        <f t="shared" si="1"/>
        <v>42462</v>
      </c>
      <c r="D306" s="3">
        <v>14873.0</v>
      </c>
      <c r="E306" s="3">
        <v>11.1099996566772</v>
      </c>
      <c r="F306" s="3">
        <v>11.1099996566772</v>
      </c>
      <c r="G306" s="3">
        <v>0.0</v>
      </c>
      <c r="H306" s="3">
        <v>8.1899995803833</v>
      </c>
      <c r="I306" s="3">
        <v>0.600000023841858</v>
      </c>
      <c r="J306" s="3">
        <v>2.30999994277954</v>
      </c>
      <c r="K306" s="3">
        <v>0.0</v>
      </c>
      <c r="L306" s="3">
        <v>202.0</v>
      </c>
      <c r="M306" s="3">
        <v>36.0</v>
      </c>
      <c r="N306" s="3">
        <v>153.0</v>
      </c>
      <c r="O306" s="3">
        <v>663.0</v>
      </c>
      <c r="P306" s="3">
        <v>4430.0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">
        <v>5.577150313E9</v>
      </c>
      <c r="B307" s="4">
        <v>42463.0</v>
      </c>
      <c r="C307" s="5">
        <f t="shared" si="1"/>
        <v>42463</v>
      </c>
      <c r="D307" s="3">
        <v>9917.0</v>
      </c>
      <c r="E307" s="3">
        <v>7.40999984741211</v>
      </c>
      <c r="F307" s="3">
        <v>7.40999984741211</v>
      </c>
      <c r="G307" s="3">
        <v>0.0</v>
      </c>
      <c r="H307" s="3">
        <v>1.99000000953674</v>
      </c>
      <c r="I307" s="3">
        <v>0.970000028610229</v>
      </c>
      <c r="J307" s="3">
        <v>4.44000005722046</v>
      </c>
      <c r="K307" s="3">
        <v>0.0</v>
      </c>
      <c r="L307" s="3">
        <v>58.0</v>
      </c>
      <c r="M307" s="3">
        <v>27.0</v>
      </c>
      <c r="N307" s="3">
        <v>240.0</v>
      </c>
      <c r="O307" s="3">
        <v>700.0</v>
      </c>
      <c r="P307" s="3">
        <v>3427.0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">
        <v>5.577150313E9</v>
      </c>
      <c r="B308" s="4">
        <v>42464.0</v>
      </c>
      <c r="C308" s="5">
        <f t="shared" si="1"/>
        <v>42464</v>
      </c>
      <c r="D308" s="3">
        <v>7401.0</v>
      </c>
      <c r="E308" s="3">
        <v>5.55999994277954</v>
      </c>
      <c r="F308" s="3">
        <v>5.55999994277954</v>
      </c>
      <c r="G308" s="3">
        <v>0.0</v>
      </c>
      <c r="H308" s="3">
        <v>2.3199999332428</v>
      </c>
      <c r="I308" s="3">
        <v>0.360000014305115</v>
      </c>
      <c r="J308" s="3">
        <v>2.88000011444092</v>
      </c>
      <c r="K308" s="3">
        <v>0.0</v>
      </c>
      <c r="L308" s="3">
        <v>70.0</v>
      </c>
      <c r="M308" s="3">
        <v>19.0</v>
      </c>
      <c r="N308" s="3">
        <v>204.0</v>
      </c>
      <c r="O308" s="3">
        <v>689.0</v>
      </c>
      <c r="P308" s="3">
        <v>3492.0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">
        <v>5.577150313E9</v>
      </c>
      <c r="B309" s="4">
        <v>42465.0</v>
      </c>
      <c r="C309" s="5">
        <f t="shared" si="1"/>
        <v>42465</v>
      </c>
      <c r="D309" s="3">
        <v>8964.0</v>
      </c>
      <c r="E309" s="3">
        <v>6.69999980926514</v>
      </c>
      <c r="F309" s="3">
        <v>6.69999980926514</v>
      </c>
      <c r="G309" s="3">
        <v>0.0</v>
      </c>
      <c r="H309" s="3">
        <v>3.97000002861023</v>
      </c>
      <c r="I309" s="3">
        <v>0.189999997615814</v>
      </c>
      <c r="J309" s="3">
        <v>2.52999997138977</v>
      </c>
      <c r="K309" s="3">
        <v>0.0</v>
      </c>
      <c r="L309" s="3">
        <v>107.0</v>
      </c>
      <c r="M309" s="3">
        <v>18.0</v>
      </c>
      <c r="N309" s="3">
        <v>145.0</v>
      </c>
      <c r="O309" s="3">
        <v>756.0</v>
      </c>
      <c r="P309" s="3">
        <v>3597.0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">
        <v>5.577150313E9</v>
      </c>
      <c r="B310" s="4">
        <v>42466.0</v>
      </c>
      <c r="C310" s="5">
        <f t="shared" si="1"/>
        <v>42466</v>
      </c>
      <c r="D310" s="3">
        <v>11080.0</v>
      </c>
      <c r="E310" s="3">
        <v>8.30000019073486</v>
      </c>
      <c r="F310" s="3">
        <v>8.30000019073486</v>
      </c>
      <c r="G310" s="3">
        <v>0.0</v>
      </c>
      <c r="H310" s="3">
        <v>3.13000011444092</v>
      </c>
      <c r="I310" s="3">
        <v>1.37000000476837</v>
      </c>
      <c r="J310" s="3">
        <v>3.80999994277954</v>
      </c>
      <c r="K310" s="3">
        <v>0.0</v>
      </c>
      <c r="L310" s="3">
        <v>83.0</v>
      </c>
      <c r="M310" s="3">
        <v>52.0</v>
      </c>
      <c r="N310" s="3">
        <v>190.0</v>
      </c>
      <c r="O310" s="3">
        <v>695.0</v>
      </c>
      <c r="P310" s="3">
        <v>3765.0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">
        <v>5.577150313E9</v>
      </c>
      <c r="B311" s="4">
        <v>42467.0</v>
      </c>
      <c r="C311" s="5">
        <f t="shared" si="1"/>
        <v>42467</v>
      </c>
      <c r="D311" s="3">
        <v>4499.0</v>
      </c>
      <c r="E311" s="3">
        <v>3.35999989509583</v>
      </c>
      <c r="F311" s="3">
        <v>3.35999989509583</v>
      </c>
      <c r="G311" s="3">
        <v>0.0</v>
      </c>
      <c r="H311" s="3">
        <v>0.889999985694885</v>
      </c>
      <c r="I311" s="3">
        <v>0.259999990463257</v>
      </c>
      <c r="J311" s="3">
        <v>2.21000003814697</v>
      </c>
      <c r="K311" s="3">
        <v>0.0</v>
      </c>
      <c r="L311" s="3">
        <v>31.0</v>
      </c>
      <c r="M311" s="3">
        <v>11.0</v>
      </c>
      <c r="N311" s="3">
        <v>146.0</v>
      </c>
      <c r="O311" s="3">
        <v>756.0</v>
      </c>
      <c r="P311" s="3">
        <v>2775.0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">
        <v>5.577150313E9</v>
      </c>
      <c r="B312" s="4">
        <v>42468.0</v>
      </c>
      <c r="C312" s="5">
        <f t="shared" si="1"/>
        <v>42468</v>
      </c>
      <c r="D312" s="3">
        <v>4363.0</v>
      </c>
      <c r="E312" s="3">
        <v>3.25999999046326</v>
      </c>
      <c r="F312" s="3">
        <v>3.25999999046326</v>
      </c>
      <c r="G312" s="3">
        <v>0.0</v>
      </c>
      <c r="H312" s="3">
        <v>0.129999995231628</v>
      </c>
      <c r="I312" s="3">
        <v>0.0599999986588955</v>
      </c>
      <c r="J312" s="3">
        <v>3.07999992370605</v>
      </c>
      <c r="K312" s="3">
        <v>0.0</v>
      </c>
      <c r="L312" s="3">
        <v>8.0</v>
      </c>
      <c r="M312" s="3">
        <v>2.0</v>
      </c>
      <c r="N312" s="3">
        <v>156.0</v>
      </c>
      <c r="O312" s="3">
        <v>813.0</v>
      </c>
      <c r="P312" s="3">
        <v>2486.0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">
        <v>5.577150313E9</v>
      </c>
      <c r="B313" s="4">
        <v>42469.0</v>
      </c>
      <c r="C313" s="5">
        <f t="shared" si="1"/>
        <v>42469</v>
      </c>
      <c r="D313" s="3">
        <v>10494.0</v>
      </c>
      <c r="E313" s="3">
        <v>7.84000015258789</v>
      </c>
      <c r="F313" s="3">
        <v>7.84000015258789</v>
      </c>
      <c r="G313" s="3">
        <v>0.0</v>
      </c>
      <c r="H313" s="3">
        <v>4.90999984741211</v>
      </c>
      <c r="I313" s="3">
        <v>0.779999971389771</v>
      </c>
      <c r="J313" s="3">
        <v>2.15000009536743</v>
      </c>
      <c r="K313" s="3">
        <v>0.0</v>
      </c>
      <c r="L313" s="3">
        <v>123.0</v>
      </c>
      <c r="M313" s="3">
        <v>62.0</v>
      </c>
      <c r="N313" s="3">
        <v>138.0</v>
      </c>
      <c r="O313" s="3">
        <v>601.0</v>
      </c>
      <c r="P313" s="3">
        <v>3817.0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">
        <v>5.577150313E9</v>
      </c>
      <c r="B314" s="4">
        <v>42470.0</v>
      </c>
      <c r="C314" s="5">
        <f t="shared" si="1"/>
        <v>42470</v>
      </c>
      <c r="D314" s="3">
        <v>9776.0</v>
      </c>
      <c r="E314" s="3">
        <v>7.38000011444092</v>
      </c>
      <c r="F314" s="3">
        <v>7.38000011444092</v>
      </c>
      <c r="G314" s="3">
        <v>0.0</v>
      </c>
      <c r="H314" s="3">
        <v>2.9300000667572</v>
      </c>
      <c r="I314" s="3">
        <v>1.42999994754791</v>
      </c>
      <c r="J314" s="3">
        <v>3.01999998092651</v>
      </c>
      <c r="K314" s="3">
        <v>0.0</v>
      </c>
      <c r="L314" s="3">
        <v>80.0</v>
      </c>
      <c r="M314" s="3">
        <v>35.0</v>
      </c>
      <c r="N314" s="3">
        <v>162.0</v>
      </c>
      <c r="O314" s="3">
        <v>721.0</v>
      </c>
      <c r="P314" s="3">
        <v>3378.0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">
        <v>5.577150313E9</v>
      </c>
      <c r="B315" s="4">
        <v>42471.0</v>
      </c>
      <c r="C315" s="5">
        <f t="shared" si="1"/>
        <v>42471</v>
      </c>
      <c r="D315" s="3">
        <v>2862.0</v>
      </c>
      <c r="E315" s="3">
        <v>2.14000010490417</v>
      </c>
      <c r="F315" s="3">
        <v>2.14000010490417</v>
      </c>
      <c r="G315" s="3">
        <v>0.0</v>
      </c>
      <c r="H315" s="3">
        <v>1.03999996185303</v>
      </c>
      <c r="I315" s="3">
        <v>0.25</v>
      </c>
      <c r="J315" s="3">
        <v>0.839999973773956</v>
      </c>
      <c r="K315" s="3">
        <v>0.0</v>
      </c>
      <c r="L315" s="3">
        <v>39.0</v>
      </c>
      <c r="M315" s="3">
        <v>17.0</v>
      </c>
      <c r="N315" s="3">
        <v>54.0</v>
      </c>
      <c r="O315" s="3">
        <v>209.0</v>
      </c>
      <c r="P315" s="3">
        <v>1511.0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">
        <v>6.11766616E9</v>
      </c>
      <c r="B316" s="4">
        <v>42461.0</v>
      </c>
      <c r="C316" s="5">
        <f t="shared" si="1"/>
        <v>42461</v>
      </c>
      <c r="D316" s="3">
        <v>7444.0</v>
      </c>
      <c r="E316" s="3">
        <v>5.61999988555908</v>
      </c>
      <c r="F316" s="3">
        <v>5.61999988555908</v>
      </c>
      <c r="G316" s="3">
        <v>0.0</v>
      </c>
      <c r="H316" s="3">
        <v>0.0</v>
      </c>
      <c r="I316" s="3">
        <v>0.0</v>
      </c>
      <c r="J316" s="3">
        <v>5.61999988555908</v>
      </c>
      <c r="K316" s="3">
        <v>0.0</v>
      </c>
      <c r="L316" s="3">
        <v>0.0</v>
      </c>
      <c r="M316" s="3">
        <v>0.0</v>
      </c>
      <c r="N316" s="3">
        <v>286.0</v>
      </c>
      <c r="O316" s="3">
        <v>568.0</v>
      </c>
      <c r="P316" s="3">
        <v>2210.0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">
        <v>6.11766616E9</v>
      </c>
      <c r="B317" s="4">
        <v>42462.0</v>
      </c>
      <c r="C317" s="5">
        <f t="shared" si="1"/>
        <v>42462</v>
      </c>
      <c r="D317" s="3">
        <v>19658.0</v>
      </c>
      <c r="E317" s="3">
        <v>14.8400001525879</v>
      </c>
      <c r="F317" s="3">
        <v>14.8400001525879</v>
      </c>
      <c r="G317" s="3">
        <v>0.0</v>
      </c>
      <c r="H317" s="3">
        <v>0.239999994635582</v>
      </c>
      <c r="I317" s="3">
        <v>2.08999991416931</v>
      </c>
      <c r="J317" s="3">
        <v>12.5100002288818</v>
      </c>
      <c r="K317" s="3">
        <v>0.0</v>
      </c>
      <c r="L317" s="3">
        <v>3.0</v>
      </c>
      <c r="M317" s="3">
        <v>30.0</v>
      </c>
      <c r="N317" s="3">
        <v>475.0</v>
      </c>
      <c r="O317" s="3">
        <v>466.0</v>
      </c>
      <c r="P317" s="3">
        <v>2884.0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">
        <v>6.11766616E9</v>
      </c>
      <c r="B318" s="4">
        <v>42463.0</v>
      </c>
      <c r="C318" s="5">
        <f t="shared" si="1"/>
        <v>42463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1440.0</v>
      </c>
      <c r="P318" s="3">
        <v>1496.0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">
        <v>6.11766616E9</v>
      </c>
      <c r="B319" s="4">
        <v>42464.0</v>
      </c>
      <c r="C319" s="5">
        <f t="shared" si="1"/>
        <v>42464</v>
      </c>
      <c r="D319" s="3">
        <v>8468.0</v>
      </c>
      <c r="E319" s="3">
        <v>6.3899998664856</v>
      </c>
      <c r="F319" s="3">
        <v>6.3899998664856</v>
      </c>
      <c r="G319" s="3">
        <v>0.0</v>
      </c>
      <c r="H319" s="3">
        <v>0.180000007152557</v>
      </c>
      <c r="I319" s="3">
        <v>0.639999985694885</v>
      </c>
      <c r="J319" s="3">
        <v>5.57000017166138</v>
      </c>
      <c r="K319" s="3">
        <v>0.0</v>
      </c>
      <c r="L319" s="3">
        <v>2.0</v>
      </c>
      <c r="M319" s="3">
        <v>11.0</v>
      </c>
      <c r="N319" s="3">
        <v>279.0</v>
      </c>
      <c r="O319" s="3">
        <v>1148.0</v>
      </c>
      <c r="P319" s="3">
        <v>2262.0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">
        <v>6.11766616E9</v>
      </c>
      <c r="B320" s="4">
        <v>42465.0</v>
      </c>
      <c r="C320" s="5">
        <f t="shared" si="1"/>
        <v>42465</v>
      </c>
      <c r="D320" s="3">
        <v>9910.0</v>
      </c>
      <c r="E320" s="3">
        <v>7.48000001907349</v>
      </c>
      <c r="F320" s="3">
        <v>7.48000001907349</v>
      </c>
      <c r="G320" s="3">
        <v>0.0</v>
      </c>
      <c r="H320" s="3">
        <v>0.0</v>
      </c>
      <c r="I320" s="3">
        <v>0.0</v>
      </c>
      <c r="J320" s="3">
        <v>7.48000001907349</v>
      </c>
      <c r="K320" s="3">
        <v>0.0</v>
      </c>
      <c r="L320" s="3">
        <v>0.0</v>
      </c>
      <c r="M320" s="3">
        <v>0.0</v>
      </c>
      <c r="N320" s="3">
        <v>384.0</v>
      </c>
      <c r="O320" s="3">
        <v>990.0</v>
      </c>
      <c r="P320" s="3">
        <v>2445.0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">
        <v>6.11766616E9</v>
      </c>
      <c r="B321" s="4">
        <v>42466.0</v>
      </c>
      <c r="C321" s="5">
        <f t="shared" si="1"/>
        <v>42466</v>
      </c>
      <c r="D321" s="3">
        <v>12409.0</v>
      </c>
      <c r="E321" s="3">
        <v>9.36999988555908</v>
      </c>
      <c r="F321" s="3">
        <v>9.36999988555908</v>
      </c>
      <c r="G321" s="3">
        <v>0.0</v>
      </c>
      <c r="H321" s="3">
        <v>0.0</v>
      </c>
      <c r="I321" s="3">
        <v>0.0</v>
      </c>
      <c r="J321" s="3">
        <v>9.36999988555908</v>
      </c>
      <c r="K321" s="3">
        <v>0.0</v>
      </c>
      <c r="L321" s="3">
        <v>0.0</v>
      </c>
      <c r="M321" s="3">
        <v>0.0</v>
      </c>
      <c r="N321" s="3">
        <v>491.0</v>
      </c>
      <c r="O321" s="3">
        <v>388.0</v>
      </c>
      <c r="P321" s="3">
        <v>2694.0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">
        <v>6.11766616E9</v>
      </c>
      <c r="B322" s="4">
        <v>42467.0</v>
      </c>
      <c r="C322" s="5">
        <f t="shared" si="1"/>
        <v>42467</v>
      </c>
      <c r="D322" s="3">
        <v>4853.0</v>
      </c>
      <c r="E322" s="3">
        <v>3.66000008583069</v>
      </c>
      <c r="F322" s="3">
        <v>3.66000008583069</v>
      </c>
      <c r="G322" s="3">
        <v>0.0</v>
      </c>
      <c r="H322" s="3">
        <v>0.0</v>
      </c>
      <c r="I322" s="3">
        <v>0.0</v>
      </c>
      <c r="J322" s="3">
        <v>3.66000008583069</v>
      </c>
      <c r="K322" s="3">
        <v>0.0</v>
      </c>
      <c r="L322" s="3">
        <v>0.0</v>
      </c>
      <c r="M322" s="3">
        <v>0.0</v>
      </c>
      <c r="N322" s="3">
        <v>156.0</v>
      </c>
      <c r="O322" s="3">
        <v>770.0</v>
      </c>
      <c r="P322" s="3">
        <v>1903.0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">
        <v>6.11766616E9</v>
      </c>
      <c r="B323" s="4">
        <v>42468.0</v>
      </c>
      <c r="C323" s="5">
        <f t="shared" si="1"/>
        <v>42468</v>
      </c>
      <c r="D323" s="3">
        <v>8955.0</v>
      </c>
      <c r="E323" s="3">
        <v>6.76000022888184</v>
      </c>
      <c r="F323" s="3">
        <v>6.76000022888184</v>
      </c>
      <c r="G323" s="3">
        <v>0.0</v>
      </c>
      <c r="H323" s="3">
        <v>0.0</v>
      </c>
      <c r="I323" s="3">
        <v>0.0</v>
      </c>
      <c r="J323" s="3">
        <v>6.73000001907349</v>
      </c>
      <c r="K323" s="3">
        <v>0.0</v>
      </c>
      <c r="L323" s="3">
        <v>0.0</v>
      </c>
      <c r="M323" s="3">
        <v>0.0</v>
      </c>
      <c r="N323" s="3">
        <v>422.0</v>
      </c>
      <c r="O323" s="3">
        <v>1018.0</v>
      </c>
      <c r="P323" s="3">
        <v>2482.0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">
        <v>6.11766616E9</v>
      </c>
      <c r="B324" s="4">
        <v>42469.0</v>
      </c>
      <c r="C324" s="5">
        <f t="shared" si="1"/>
        <v>42469</v>
      </c>
      <c r="D324" s="3">
        <v>10789.0</v>
      </c>
      <c r="E324" s="3">
        <v>8.14999961853027</v>
      </c>
      <c r="F324" s="3">
        <v>8.14999961853027</v>
      </c>
      <c r="G324" s="3">
        <v>0.0</v>
      </c>
      <c r="H324" s="3">
        <v>0.0</v>
      </c>
      <c r="I324" s="3">
        <v>0.0</v>
      </c>
      <c r="J324" s="3">
        <v>8.14999961853027</v>
      </c>
      <c r="K324" s="3">
        <v>0.0</v>
      </c>
      <c r="L324" s="3">
        <v>0.0</v>
      </c>
      <c r="M324" s="3">
        <v>0.0</v>
      </c>
      <c r="N324" s="3">
        <v>506.0</v>
      </c>
      <c r="O324" s="3">
        <v>413.0</v>
      </c>
      <c r="P324" s="3">
        <v>2617.0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">
        <v>6.11766616E9</v>
      </c>
      <c r="B325" s="4">
        <v>42470.0</v>
      </c>
      <c r="C325" s="5">
        <f t="shared" si="1"/>
        <v>42470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1440.0</v>
      </c>
      <c r="P325" s="3">
        <v>0.0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">
        <v>6.290855005E9</v>
      </c>
      <c r="B326" s="4">
        <v>42461.0</v>
      </c>
      <c r="C326" s="5">
        <f t="shared" si="1"/>
        <v>42461</v>
      </c>
      <c r="D326" s="3">
        <v>6633.0</v>
      </c>
      <c r="E326" s="3">
        <v>5.01000022888184</v>
      </c>
      <c r="F326" s="3">
        <v>5.01000022888184</v>
      </c>
      <c r="G326" s="3">
        <v>0.0</v>
      </c>
      <c r="H326" s="3">
        <v>0.0</v>
      </c>
      <c r="I326" s="3">
        <v>0.0</v>
      </c>
      <c r="J326" s="3">
        <v>5.01000022888184</v>
      </c>
      <c r="K326" s="3">
        <v>0.0</v>
      </c>
      <c r="L326" s="3">
        <v>0.0</v>
      </c>
      <c r="M326" s="3">
        <v>0.0</v>
      </c>
      <c r="N326" s="3">
        <v>280.0</v>
      </c>
      <c r="O326" s="3">
        <v>1160.0</v>
      </c>
      <c r="P326" s="3">
        <v>2778.0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">
        <v>6.290855005E9</v>
      </c>
      <c r="B327" s="4">
        <v>42462.0</v>
      </c>
      <c r="C327" s="5">
        <f t="shared" si="1"/>
        <v>42462</v>
      </c>
      <c r="D327" s="3">
        <v>9548.0</v>
      </c>
      <c r="E327" s="3">
        <v>7.21999979019165</v>
      </c>
      <c r="F327" s="3">
        <v>7.21999979019165</v>
      </c>
      <c r="G327" s="3">
        <v>0.0</v>
      </c>
      <c r="H327" s="3">
        <v>2.01999998092651</v>
      </c>
      <c r="I327" s="3">
        <v>3.6800000667572</v>
      </c>
      <c r="J327" s="3">
        <v>1.51999998092651</v>
      </c>
      <c r="K327" s="3">
        <v>0.0</v>
      </c>
      <c r="L327" s="3">
        <v>25.0</v>
      </c>
      <c r="M327" s="3">
        <v>107.0</v>
      </c>
      <c r="N327" s="3">
        <v>113.0</v>
      </c>
      <c r="O327" s="3">
        <v>1195.0</v>
      </c>
      <c r="P327" s="3">
        <v>3119.0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">
        <v>6.290855005E9</v>
      </c>
      <c r="B328" s="4">
        <v>42463.0</v>
      </c>
      <c r="C328" s="5">
        <f t="shared" si="1"/>
        <v>42463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33.0</v>
      </c>
      <c r="M328" s="3">
        <v>0.0</v>
      </c>
      <c r="N328" s="3">
        <v>0.0</v>
      </c>
      <c r="O328" s="3">
        <v>1407.0</v>
      </c>
      <c r="P328" s="3">
        <v>2664.0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">
        <v>6.290855005E9</v>
      </c>
      <c r="B329" s="4">
        <v>42464.0</v>
      </c>
      <c r="C329" s="5">
        <f t="shared" si="1"/>
        <v>42464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1440.0</v>
      </c>
      <c r="P329" s="3">
        <v>2060.0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">
        <v>6.290855005E9</v>
      </c>
      <c r="B330" s="4">
        <v>42465.0</v>
      </c>
      <c r="C330" s="5">
        <f t="shared" si="1"/>
        <v>42465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1440.0</v>
      </c>
      <c r="P330" s="3">
        <v>2060.0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3">
        <v>6.290855005E9</v>
      </c>
      <c r="B331" s="4">
        <v>42466.0</v>
      </c>
      <c r="C331" s="5">
        <f t="shared" si="1"/>
        <v>42466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1440.0</v>
      </c>
      <c r="P331" s="3">
        <v>2060.0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3">
        <v>6.290855005E9</v>
      </c>
      <c r="B332" s="4">
        <v>42467.0</v>
      </c>
      <c r="C332" s="5">
        <f t="shared" si="1"/>
        <v>42467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1440.0</v>
      </c>
      <c r="P332" s="3">
        <v>2060.0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3">
        <v>6.290855005E9</v>
      </c>
      <c r="B333" s="4">
        <v>42468.0</v>
      </c>
      <c r="C333" s="5">
        <f t="shared" si="1"/>
        <v>42468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1440.0</v>
      </c>
      <c r="P333" s="3">
        <v>2060.0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3">
        <v>6.290855005E9</v>
      </c>
      <c r="B334" s="4">
        <v>42469.0</v>
      </c>
      <c r="C334" s="5">
        <f t="shared" si="1"/>
        <v>42469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1440.0</v>
      </c>
      <c r="P334" s="3">
        <v>2060.0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3">
        <v>6.290855005E9</v>
      </c>
      <c r="B335" s="4">
        <v>42470.0</v>
      </c>
      <c r="C335" s="5">
        <f t="shared" si="1"/>
        <v>42470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20.0</v>
      </c>
      <c r="M335" s="3">
        <v>0.0</v>
      </c>
      <c r="N335" s="3">
        <v>0.0</v>
      </c>
      <c r="O335" s="3">
        <v>494.0</v>
      </c>
      <c r="P335" s="3">
        <v>735.0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3">
        <v>6.391747486E9</v>
      </c>
      <c r="B336" s="4">
        <v>42461.0</v>
      </c>
      <c r="C336" s="5">
        <f t="shared" si="1"/>
        <v>42461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1440.0</v>
      </c>
      <c r="P336" s="3">
        <v>1820.0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3">
        <v>6.391747486E9</v>
      </c>
      <c r="B337" s="4">
        <v>42462.0</v>
      </c>
      <c r="C337" s="5">
        <f t="shared" si="1"/>
        <v>42462</v>
      </c>
      <c r="D337" s="3">
        <v>2101.0</v>
      </c>
      <c r="E337" s="3">
        <v>2.02999997138977</v>
      </c>
      <c r="F337" s="3">
        <v>0.0</v>
      </c>
      <c r="G337" s="3">
        <v>2.02777290344238</v>
      </c>
      <c r="H337" s="3">
        <v>2.02999997138977</v>
      </c>
      <c r="I337" s="3">
        <v>0.0</v>
      </c>
      <c r="J337" s="3">
        <v>0.0</v>
      </c>
      <c r="K337" s="3">
        <v>0.0</v>
      </c>
      <c r="L337" s="3">
        <v>46.0</v>
      </c>
      <c r="M337" s="3">
        <v>0.0</v>
      </c>
      <c r="N337" s="3">
        <v>0.0</v>
      </c>
      <c r="O337" s="3">
        <v>1394.0</v>
      </c>
      <c r="P337" s="3">
        <v>2224.0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3">
        <v>6.391747486E9</v>
      </c>
      <c r="B338" s="4">
        <v>42463.0</v>
      </c>
      <c r="C338" s="5">
        <f t="shared" si="1"/>
        <v>42463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1440.0</v>
      </c>
      <c r="P338" s="3">
        <v>1820.0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3">
        <v>6.391747486E9</v>
      </c>
      <c r="B339" s="4">
        <v>42464.0</v>
      </c>
      <c r="C339" s="5">
        <f t="shared" si="1"/>
        <v>42464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1440.0</v>
      </c>
      <c r="P339" s="3">
        <v>1820.0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3">
        <v>6.391747486E9</v>
      </c>
      <c r="B340" s="4">
        <v>42465.0</v>
      </c>
      <c r="C340" s="5">
        <f t="shared" si="1"/>
        <v>42465</v>
      </c>
      <c r="D340" s="3">
        <v>9766.0</v>
      </c>
      <c r="E340" s="3">
        <v>7.51000022888184</v>
      </c>
      <c r="F340" s="3">
        <v>0.779999971389771</v>
      </c>
      <c r="G340" s="3">
        <v>6.72705698013306</v>
      </c>
      <c r="H340" s="3">
        <v>0.0</v>
      </c>
      <c r="I340" s="3">
        <v>0.0500000007450581</v>
      </c>
      <c r="J340" s="3">
        <v>7.46000003814697</v>
      </c>
      <c r="K340" s="3">
        <v>0.0</v>
      </c>
      <c r="L340" s="3">
        <v>0.0</v>
      </c>
      <c r="M340" s="3">
        <v>6.0</v>
      </c>
      <c r="N340" s="3">
        <v>301.0</v>
      </c>
      <c r="O340" s="3">
        <v>1133.0</v>
      </c>
      <c r="P340" s="3">
        <v>2442.0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3">
        <v>6.391747486E9</v>
      </c>
      <c r="B341" s="4">
        <v>42466.0</v>
      </c>
      <c r="C341" s="5">
        <f t="shared" si="1"/>
        <v>42466</v>
      </c>
      <c r="D341" s="3">
        <v>165.0</v>
      </c>
      <c r="E341" s="3">
        <v>0.129999995231628</v>
      </c>
      <c r="F341" s="3">
        <v>0.129999995231628</v>
      </c>
      <c r="G341" s="3">
        <v>0.0</v>
      </c>
      <c r="H341" s="3">
        <v>0.0</v>
      </c>
      <c r="I341" s="3">
        <v>0.0</v>
      </c>
      <c r="J341" s="3">
        <v>0.129999995231628</v>
      </c>
      <c r="K341" s="3">
        <v>0.0</v>
      </c>
      <c r="L341" s="3">
        <v>0.0</v>
      </c>
      <c r="M341" s="3">
        <v>0.0</v>
      </c>
      <c r="N341" s="3">
        <v>8.0</v>
      </c>
      <c r="O341" s="3">
        <v>1432.0</v>
      </c>
      <c r="P341" s="3">
        <v>1849.0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3">
        <v>6.391747486E9</v>
      </c>
      <c r="B342" s="4">
        <v>42467.0</v>
      </c>
      <c r="C342" s="5">
        <f t="shared" si="1"/>
        <v>42467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1440.0</v>
      </c>
      <c r="P342" s="3">
        <v>1822.0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3">
        <v>6.391747486E9</v>
      </c>
      <c r="B343" s="4">
        <v>42468.0</v>
      </c>
      <c r="C343" s="5">
        <f t="shared" si="1"/>
        <v>42468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1440.0</v>
      </c>
      <c r="P343" s="3">
        <v>1820.0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3">
        <v>6.391747486E9</v>
      </c>
      <c r="B344" s="4">
        <v>42469.0</v>
      </c>
      <c r="C344" s="5">
        <f t="shared" si="1"/>
        <v>42469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198.0</v>
      </c>
      <c r="P344" s="3">
        <v>251.0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3">
        <v>6.775888955E9</v>
      </c>
      <c r="B345" s="4">
        <v>42461.0</v>
      </c>
      <c r="C345" s="5">
        <f t="shared" si="1"/>
        <v>42461</v>
      </c>
      <c r="D345" s="3">
        <v>7225.0</v>
      </c>
      <c r="E345" s="3">
        <v>5.17999982833862</v>
      </c>
      <c r="F345" s="3">
        <v>5.17999982833862</v>
      </c>
      <c r="G345" s="3">
        <v>0.0</v>
      </c>
      <c r="H345" s="3">
        <v>1.73000001907349</v>
      </c>
      <c r="I345" s="3">
        <v>1.26999998092651</v>
      </c>
      <c r="J345" s="3">
        <v>2.1800000667572</v>
      </c>
      <c r="K345" s="3">
        <v>0.0</v>
      </c>
      <c r="L345" s="3">
        <v>25.0</v>
      </c>
      <c r="M345" s="3">
        <v>50.0</v>
      </c>
      <c r="N345" s="3">
        <v>163.0</v>
      </c>
      <c r="O345" s="3">
        <v>1189.0</v>
      </c>
      <c r="P345" s="3">
        <v>3065.0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3">
        <v>6.775888955E9</v>
      </c>
      <c r="B346" s="4">
        <v>42462.0</v>
      </c>
      <c r="C346" s="5">
        <f t="shared" si="1"/>
        <v>42462</v>
      </c>
      <c r="D346" s="3">
        <v>1988.0</v>
      </c>
      <c r="E346" s="3">
        <v>1.42999994754791</v>
      </c>
      <c r="F346" s="3">
        <v>1.42999994754791</v>
      </c>
      <c r="G346" s="3">
        <v>0.0</v>
      </c>
      <c r="H346" s="3">
        <v>0.0</v>
      </c>
      <c r="I346" s="3">
        <v>0.0</v>
      </c>
      <c r="J346" s="3">
        <v>1.42999994754791</v>
      </c>
      <c r="K346" s="3">
        <v>0.0</v>
      </c>
      <c r="L346" s="3">
        <v>0.0</v>
      </c>
      <c r="M346" s="3">
        <v>0.0</v>
      </c>
      <c r="N346" s="3">
        <v>79.0</v>
      </c>
      <c r="O346" s="3">
        <v>909.0</v>
      </c>
      <c r="P346" s="3">
        <v>2207.0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3">
        <v>6.775888955E9</v>
      </c>
      <c r="B347" s="4">
        <v>42463.0</v>
      </c>
      <c r="C347" s="5">
        <f t="shared" si="1"/>
        <v>42463</v>
      </c>
      <c r="D347" s="3">
        <v>1577.0</v>
      </c>
      <c r="E347" s="3">
        <v>1.12999999523163</v>
      </c>
      <c r="F347" s="3">
        <v>1.12999999523163</v>
      </c>
      <c r="G347" s="3">
        <v>0.0</v>
      </c>
      <c r="H347" s="3">
        <v>0.0700000002980232</v>
      </c>
      <c r="I347" s="3">
        <v>0.889999985694885</v>
      </c>
      <c r="J347" s="3">
        <v>0.170000001788139</v>
      </c>
      <c r="K347" s="3">
        <v>0.0</v>
      </c>
      <c r="L347" s="3">
        <v>1.0</v>
      </c>
      <c r="M347" s="3">
        <v>17.0</v>
      </c>
      <c r="N347" s="3">
        <v>8.0</v>
      </c>
      <c r="O347" s="3">
        <v>1414.0</v>
      </c>
      <c r="P347" s="3">
        <v>1977.0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3">
        <v>6.775888955E9</v>
      </c>
      <c r="B348" s="4">
        <v>42464.0</v>
      </c>
      <c r="C348" s="5">
        <f t="shared" si="1"/>
        <v>42464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1440.0</v>
      </c>
      <c r="P348" s="3">
        <v>1841.0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3">
        <v>6.775888955E9</v>
      </c>
      <c r="B349" s="4">
        <v>42465.0</v>
      </c>
      <c r="C349" s="5">
        <f t="shared" si="1"/>
        <v>42465</v>
      </c>
      <c r="D349" s="3">
        <v>9348.0</v>
      </c>
      <c r="E349" s="3">
        <v>6.69999980926514</v>
      </c>
      <c r="F349" s="3">
        <v>6.69999980926514</v>
      </c>
      <c r="G349" s="3">
        <v>0.0</v>
      </c>
      <c r="H349" s="3">
        <v>1.12999999523163</v>
      </c>
      <c r="I349" s="3">
        <v>2.03999996185303</v>
      </c>
      <c r="J349" s="3">
        <v>3.14000010490417</v>
      </c>
      <c r="K349" s="3">
        <v>0.0</v>
      </c>
      <c r="L349" s="3">
        <v>56.0</v>
      </c>
      <c r="M349" s="3">
        <v>133.0</v>
      </c>
      <c r="N349" s="3">
        <v>240.0</v>
      </c>
      <c r="O349" s="3">
        <v>1011.0</v>
      </c>
      <c r="P349" s="3">
        <v>4286.0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3">
        <v>6.775888955E9</v>
      </c>
      <c r="B350" s="4">
        <v>42466.0</v>
      </c>
      <c r="C350" s="5">
        <f t="shared" si="1"/>
        <v>42466</v>
      </c>
      <c r="D350" s="3">
        <v>11761.0</v>
      </c>
      <c r="E350" s="3">
        <v>8.43000030517578</v>
      </c>
      <c r="F350" s="3">
        <v>8.43000030517578</v>
      </c>
      <c r="G350" s="3">
        <v>0.0</v>
      </c>
      <c r="H350" s="3">
        <v>1.30999994277954</v>
      </c>
      <c r="I350" s="3">
        <v>2.44000005722046</v>
      </c>
      <c r="J350" s="3">
        <v>4.67999982833862</v>
      </c>
      <c r="K350" s="3">
        <v>0.0</v>
      </c>
      <c r="L350" s="3">
        <v>24.0</v>
      </c>
      <c r="M350" s="3">
        <v>99.0</v>
      </c>
      <c r="N350" s="3">
        <v>300.0</v>
      </c>
      <c r="O350" s="3">
        <v>550.0</v>
      </c>
      <c r="P350" s="3">
        <v>3920.0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3">
        <v>6.775888955E9</v>
      </c>
      <c r="B351" s="4">
        <v>42467.0</v>
      </c>
      <c r="C351" s="5">
        <f t="shared" si="1"/>
        <v>42467</v>
      </c>
      <c r="D351" s="3">
        <v>13987.0</v>
      </c>
      <c r="E351" s="3">
        <v>10.0299997329712</v>
      </c>
      <c r="F351" s="3">
        <v>10.0299997329712</v>
      </c>
      <c r="G351" s="3">
        <v>0.0</v>
      </c>
      <c r="H351" s="3">
        <v>2.86999988555908</v>
      </c>
      <c r="I351" s="3">
        <v>3.33999991416931</v>
      </c>
      <c r="J351" s="3">
        <v>3.8199999332428</v>
      </c>
      <c r="K351" s="3">
        <v>0.0</v>
      </c>
      <c r="L351" s="3">
        <v>46.0</v>
      </c>
      <c r="M351" s="3">
        <v>114.0</v>
      </c>
      <c r="N351" s="3">
        <v>250.0</v>
      </c>
      <c r="O351" s="3">
        <v>739.0</v>
      </c>
      <c r="P351" s="3">
        <v>3856.0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3">
        <v>6.775888955E9</v>
      </c>
      <c r="B352" s="4">
        <v>42468.0</v>
      </c>
      <c r="C352" s="5">
        <f t="shared" si="1"/>
        <v>42468</v>
      </c>
      <c r="D352" s="3">
        <v>4131.0</v>
      </c>
      <c r="E352" s="3">
        <v>2.96000003814697</v>
      </c>
      <c r="F352" s="3">
        <v>2.96000003814697</v>
      </c>
      <c r="G352" s="3">
        <v>0.0</v>
      </c>
      <c r="H352" s="3">
        <v>1.37000000476837</v>
      </c>
      <c r="I352" s="3">
        <v>0.610000014305115</v>
      </c>
      <c r="J352" s="3">
        <v>0.980000019073486</v>
      </c>
      <c r="K352" s="3">
        <v>0.0</v>
      </c>
      <c r="L352" s="3">
        <v>27.0</v>
      </c>
      <c r="M352" s="3">
        <v>30.0</v>
      </c>
      <c r="N352" s="3">
        <v>75.0</v>
      </c>
      <c r="O352" s="3">
        <v>1308.0</v>
      </c>
      <c r="P352" s="3">
        <v>2584.0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3">
        <v>6.775888955E9</v>
      </c>
      <c r="B353" s="4">
        <v>42469.0</v>
      </c>
      <c r="C353" s="5">
        <f t="shared" si="1"/>
        <v>42469</v>
      </c>
      <c r="D353" s="3">
        <v>14.0</v>
      </c>
      <c r="E353" s="3">
        <v>0.00999999977648258</v>
      </c>
      <c r="F353" s="3">
        <v>0.00999999977648258</v>
      </c>
      <c r="G353" s="3">
        <v>0.0</v>
      </c>
      <c r="H353" s="3">
        <v>0.0</v>
      </c>
      <c r="I353" s="3">
        <v>0.0</v>
      </c>
      <c r="J353" s="3">
        <v>0.00999999977648258</v>
      </c>
      <c r="K353" s="3">
        <v>0.0</v>
      </c>
      <c r="L353" s="3">
        <v>0.0</v>
      </c>
      <c r="M353" s="3">
        <v>0.0</v>
      </c>
      <c r="N353" s="3">
        <v>1.0</v>
      </c>
      <c r="O353" s="3">
        <v>601.0</v>
      </c>
      <c r="P353" s="3">
        <v>787.0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3">
        <v>6.962181067E9</v>
      </c>
      <c r="B354" s="4">
        <v>42459.0</v>
      </c>
      <c r="C354" s="5">
        <f t="shared" si="1"/>
        <v>42459</v>
      </c>
      <c r="D354" s="3">
        <v>15491.0</v>
      </c>
      <c r="E354" s="3">
        <v>10.2399997711182</v>
      </c>
      <c r="F354" s="3">
        <v>10.2399997711182</v>
      </c>
      <c r="G354" s="3">
        <v>0.0</v>
      </c>
      <c r="H354" s="3">
        <v>1.28999996185303</v>
      </c>
      <c r="I354" s="3">
        <v>4.48999977111816</v>
      </c>
      <c r="J354" s="3">
        <v>4.46000003814697</v>
      </c>
      <c r="K354" s="3">
        <v>0.0</v>
      </c>
      <c r="L354" s="3">
        <v>18.0</v>
      </c>
      <c r="M354" s="3">
        <v>77.0</v>
      </c>
      <c r="N354" s="3">
        <v>272.0</v>
      </c>
      <c r="O354" s="3">
        <v>641.0</v>
      </c>
      <c r="P354" s="3">
        <v>2244.0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3">
        <v>6.962181067E9</v>
      </c>
      <c r="B355" s="4">
        <v>42460.0</v>
      </c>
      <c r="C355" s="5">
        <f t="shared" si="1"/>
        <v>42460</v>
      </c>
      <c r="D355" s="3">
        <v>14097.0</v>
      </c>
      <c r="E355" s="3">
        <v>9.31999969482422</v>
      </c>
      <c r="F355" s="3">
        <v>9.31999969482422</v>
      </c>
      <c r="G355" s="3">
        <v>0.0</v>
      </c>
      <c r="H355" s="3">
        <v>3.5</v>
      </c>
      <c r="I355" s="3">
        <v>1.91999995708466</v>
      </c>
      <c r="J355" s="3">
        <v>3.90000009536743</v>
      </c>
      <c r="K355" s="3">
        <v>0.0</v>
      </c>
      <c r="L355" s="3">
        <v>50.0</v>
      </c>
      <c r="M355" s="3">
        <v>32.0</v>
      </c>
      <c r="N355" s="3">
        <v>234.0</v>
      </c>
      <c r="O355" s="3">
        <v>595.0</v>
      </c>
      <c r="P355" s="3">
        <v>2188.0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3">
        <v>6.962181067E9</v>
      </c>
      <c r="B356" s="4">
        <v>42461.0</v>
      </c>
      <c r="C356" s="5">
        <f t="shared" si="1"/>
        <v>42461</v>
      </c>
      <c r="D356" s="3">
        <v>10467.0</v>
      </c>
      <c r="E356" s="3">
        <v>6.98000001907349</v>
      </c>
      <c r="F356" s="3">
        <v>6.98000001907349</v>
      </c>
      <c r="G356" s="3">
        <v>0.0</v>
      </c>
      <c r="H356" s="3">
        <v>0.699999988079071</v>
      </c>
      <c r="I356" s="3">
        <v>2.4300000667572</v>
      </c>
      <c r="J356" s="3">
        <v>3.84999990463257</v>
      </c>
      <c r="K356" s="3">
        <v>0.0</v>
      </c>
      <c r="L356" s="3">
        <v>9.0</v>
      </c>
      <c r="M356" s="3">
        <v>45.0</v>
      </c>
      <c r="N356" s="3">
        <v>252.0</v>
      </c>
      <c r="O356" s="3">
        <v>602.0</v>
      </c>
      <c r="P356" s="3">
        <v>2014.0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3">
        <v>6.962181067E9</v>
      </c>
      <c r="B357" s="4">
        <v>42462.0</v>
      </c>
      <c r="C357" s="5">
        <f t="shared" si="1"/>
        <v>42462</v>
      </c>
      <c r="D357" s="3">
        <v>12437.0</v>
      </c>
      <c r="E357" s="3">
        <v>8.30000019073486</v>
      </c>
      <c r="F357" s="3">
        <v>8.30000019073486</v>
      </c>
      <c r="G357" s="3">
        <v>0.0</v>
      </c>
      <c r="H357" s="3">
        <v>3.75999999046326</v>
      </c>
      <c r="I357" s="3">
        <v>1.28999996185303</v>
      </c>
      <c r="J357" s="3">
        <v>3.24000000953674</v>
      </c>
      <c r="K357" s="3">
        <v>0.0</v>
      </c>
      <c r="L357" s="3">
        <v>50.0</v>
      </c>
      <c r="M357" s="3">
        <v>24.0</v>
      </c>
      <c r="N357" s="3">
        <v>219.0</v>
      </c>
      <c r="O357" s="3">
        <v>732.0</v>
      </c>
      <c r="P357" s="3">
        <v>2115.0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3">
        <v>6.962181067E9</v>
      </c>
      <c r="B358" s="4">
        <v>42463.0</v>
      </c>
      <c r="C358" s="5">
        <f t="shared" si="1"/>
        <v>42463</v>
      </c>
      <c r="D358" s="3">
        <v>12307.0</v>
      </c>
      <c r="E358" s="3">
        <v>8.14000034332275</v>
      </c>
      <c r="F358" s="3">
        <v>8.14000034332275</v>
      </c>
      <c r="G358" s="3">
        <v>0.0</v>
      </c>
      <c r="H358" s="3">
        <v>1.00999999046326</v>
      </c>
      <c r="I358" s="3">
        <v>3.25999999046326</v>
      </c>
      <c r="J358" s="3">
        <v>3.86999988555908</v>
      </c>
      <c r="K358" s="3">
        <v>0.0</v>
      </c>
      <c r="L358" s="3">
        <v>14.0</v>
      </c>
      <c r="M358" s="3">
        <v>51.0</v>
      </c>
      <c r="N358" s="3">
        <v>218.0</v>
      </c>
      <c r="O358" s="3">
        <v>589.0</v>
      </c>
      <c r="P358" s="3">
        <v>2055.0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3">
        <v>6.962181067E9</v>
      </c>
      <c r="B359" s="4">
        <v>42464.0</v>
      </c>
      <c r="C359" s="5">
        <f t="shared" si="1"/>
        <v>42464</v>
      </c>
      <c r="D359" s="3">
        <v>18952.0</v>
      </c>
      <c r="E359" s="3">
        <v>12.8000001907349</v>
      </c>
      <c r="F359" s="3">
        <v>12.8000001907349</v>
      </c>
      <c r="G359" s="3">
        <v>0.0</v>
      </c>
      <c r="H359" s="3">
        <v>5.90999984741211</v>
      </c>
      <c r="I359" s="3">
        <v>1.23000001907349</v>
      </c>
      <c r="J359" s="3">
        <v>5.65999984741211</v>
      </c>
      <c r="K359" s="3">
        <v>0.0</v>
      </c>
      <c r="L359" s="3">
        <v>73.0</v>
      </c>
      <c r="M359" s="3">
        <v>20.0</v>
      </c>
      <c r="N359" s="3">
        <v>327.0</v>
      </c>
      <c r="O359" s="3">
        <v>570.0</v>
      </c>
      <c r="P359" s="3">
        <v>2437.0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3">
        <v>6.962181067E9</v>
      </c>
      <c r="B360" s="4">
        <v>42465.0</v>
      </c>
      <c r="C360" s="5">
        <f t="shared" si="1"/>
        <v>42465</v>
      </c>
      <c r="D360" s="3">
        <v>12010.0</v>
      </c>
      <c r="E360" s="3">
        <v>7.94000005722046</v>
      </c>
      <c r="F360" s="3">
        <v>7.94000005722046</v>
      </c>
      <c r="G360" s="3">
        <v>0.0</v>
      </c>
      <c r="H360" s="3">
        <v>2.38000011444092</v>
      </c>
      <c r="I360" s="3">
        <v>0.949999988079071</v>
      </c>
      <c r="J360" s="3">
        <v>4.6100001335144</v>
      </c>
      <c r="K360" s="3">
        <v>0.0</v>
      </c>
      <c r="L360" s="3">
        <v>38.0</v>
      </c>
      <c r="M360" s="3">
        <v>17.0</v>
      </c>
      <c r="N360" s="3">
        <v>287.0</v>
      </c>
      <c r="O360" s="3">
        <v>692.0</v>
      </c>
      <c r="P360" s="3">
        <v>2158.0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3">
        <v>6.962181067E9</v>
      </c>
      <c r="B361" s="4">
        <v>42466.0</v>
      </c>
      <c r="C361" s="5">
        <f t="shared" si="1"/>
        <v>42466</v>
      </c>
      <c r="D361" s="3">
        <v>12480.0</v>
      </c>
      <c r="E361" s="3">
        <v>8.85999965667725</v>
      </c>
      <c r="F361" s="3">
        <v>8.25</v>
      </c>
      <c r="G361" s="3">
        <v>3.97279500961304</v>
      </c>
      <c r="H361" s="3">
        <v>4.17999982833862</v>
      </c>
      <c r="I361" s="3">
        <v>0.689999997615814</v>
      </c>
      <c r="J361" s="3">
        <v>4.0</v>
      </c>
      <c r="K361" s="3">
        <v>0.0</v>
      </c>
      <c r="L361" s="3">
        <v>55.0</v>
      </c>
      <c r="M361" s="3">
        <v>14.0</v>
      </c>
      <c r="N361" s="3">
        <v>276.0</v>
      </c>
      <c r="O361" s="3">
        <v>593.0</v>
      </c>
      <c r="P361" s="3">
        <v>2170.0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3">
        <v>6.962181067E9</v>
      </c>
      <c r="B362" s="4">
        <v>42467.0</v>
      </c>
      <c r="C362" s="5">
        <f t="shared" si="1"/>
        <v>42467</v>
      </c>
      <c r="D362" s="3">
        <v>13417.0</v>
      </c>
      <c r="E362" s="3">
        <v>9.64999961853027</v>
      </c>
      <c r="F362" s="3">
        <v>8.86999988555908</v>
      </c>
      <c r="G362" s="3">
        <v>1.92630195617676</v>
      </c>
      <c r="H362" s="3">
        <v>3.39000010490417</v>
      </c>
      <c r="I362" s="3">
        <v>1.25</v>
      </c>
      <c r="J362" s="3">
        <v>4.90999984741211</v>
      </c>
      <c r="K362" s="3">
        <v>0.100000001490116</v>
      </c>
      <c r="L362" s="3">
        <v>45.0</v>
      </c>
      <c r="M362" s="3">
        <v>16.0</v>
      </c>
      <c r="N362" s="3">
        <v>284.0</v>
      </c>
      <c r="O362" s="3">
        <v>665.0</v>
      </c>
      <c r="P362" s="3">
        <v>2244.0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3">
        <v>6.962181067E9</v>
      </c>
      <c r="B363" s="4">
        <v>42468.0</v>
      </c>
      <c r="C363" s="5">
        <f t="shared" si="1"/>
        <v>42468</v>
      </c>
      <c r="D363" s="3">
        <v>14400.0</v>
      </c>
      <c r="E363" s="3">
        <v>10.8800001144409</v>
      </c>
      <c r="F363" s="3">
        <v>9.52000045776367</v>
      </c>
      <c r="G363" s="3">
        <v>5.45686388015747</v>
      </c>
      <c r="H363" s="3">
        <v>2.47000002861023</v>
      </c>
      <c r="I363" s="3">
        <v>2.88000011444092</v>
      </c>
      <c r="J363" s="3">
        <v>5.53000020980835</v>
      </c>
      <c r="K363" s="3">
        <v>0.0</v>
      </c>
      <c r="L363" s="3">
        <v>27.0</v>
      </c>
      <c r="M363" s="3">
        <v>37.0</v>
      </c>
      <c r="N363" s="3">
        <v>276.0</v>
      </c>
      <c r="O363" s="3">
        <v>697.0</v>
      </c>
      <c r="P363" s="3">
        <v>2188.0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3">
        <v>6.962181067E9</v>
      </c>
      <c r="B364" s="4">
        <v>42469.0</v>
      </c>
      <c r="C364" s="5">
        <f t="shared" si="1"/>
        <v>42469</v>
      </c>
      <c r="D364" s="3">
        <v>12495.0</v>
      </c>
      <c r="E364" s="3">
        <v>8.26000022888184</v>
      </c>
      <c r="F364" s="3">
        <v>8.26000022888184</v>
      </c>
      <c r="G364" s="3">
        <v>0.0</v>
      </c>
      <c r="H364" s="3">
        <v>2.21000003814697</v>
      </c>
      <c r="I364" s="3">
        <v>1.0900000333786</v>
      </c>
      <c r="J364" s="3">
        <v>4.96000003814697</v>
      </c>
      <c r="K364" s="3">
        <v>0.0</v>
      </c>
      <c r="L364" s="3">
        <v>33.0</v>
      </c>
      <c r="M364" s="3">
        <v>19.0</v>
      </c>
      <c r="N364" s="3">
        <v>324.0</v>
      </c>
      <c r="O364" s="3">
        <v>609.0</v>
      </c>
      <c r="P364" s="3">
        <v>2231.0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3">
        <v>6.962181067E9</v>
      </c>
      <c r="B365" s="4">
        <v>42470.0</v>
      </c>
      <c r="C365" s="5">
        <f t="shared" si="1"/>
        <v>42470</v>
      </c>
      <c r="D365" s="3">
        <v>10148.0</v>
      </c>
      <c r="E365" s="3">
        <v>6.71000003814697</v>
      </c>
      <c r="F365" s="3">
        <v>6.71000003814697</v>
      </c>
      <c r="G365" s="3">
        <v>0.0</v>
      </c>
      <c r="H365" s="3">
        <v>1.36000001430511</v>
      </c>
      <c r="I365" s="3">
        <v>0.219999998807907</v>
      </c>
      <c r="J365" s="3">
        <v>5.13000011444092</v>
      </c>
      <c r="K365" s="3">
        <v>0.0</v>
      </c>
      <c r="L365" s="3">
        <v>19.0</v>
      </c>
      <c r="M365" s="3">
        <v>7.0</v>
      </c>
      <c r="N365" s="3">
        <v>306.0</v>
      </c>
      <c r="O365" s="3">
        <v>679.0</v>
      </c>
      <c r="P365" s="3">
        <v>2100.0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3">
        <v>6.962181067E9</v>
      </c>
      <c r="B366" s="4">
        <v>42471.0</v>
      </c>
      <c r="C366" s="5">
        <f t="shared" si="1"/>
        <v>42471</v>
      </c>
      <c r="D366" s="3">
        <v>12362.0</v>
      </c>
      <c r="E366" s="3">
        <v>9.09000015258789</v>
      </c>
      <c r="F366" s="3">
        <v>8.17000007629395</v>
      </c>
      <c r="G366" s="3">
        <v>2.69645500183105</v>
      </c>
      <c r="H366" s="3">
        <v>1.0900000333786</v>
      </c>
      <c r="I366" s="3">
        <v>2.73000001907349</v>
      </c>
      <c r="J366" s="3">
        <v>5.26999998092651</v>
      </c>
      <c r="K366" s="3">
        <v>0.0</v>
      </c>
      <c r="L366" s="3">
        <v>21.0</v>
      </c>
      <c r="M366" s="3">
        <v>38.0</v>
      </c>
      <c r="N366" s="3">
        <v>297.0</v>
      </c>
      <c r="O366" s="3">
        <v>678.0</v>
      </c>
      <c r="P366" s="3">
        <v>2188.0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3">
        <v>6.962181067E9</v>
      </c>
      <c r="B367" s="4">
        <v>42472.0</v>
      </c>
      <c r="C367" s="5">
        <f t="shared" si="1"/>
        <v>42472</v>
      </c>
      <c r="D367" s="3">
        <v>5893.0</v>
      </c>
      <c r="E367" s="3">
        <v>3.90000009536743</v>
      </c>
      <c r="F367" s="3">
        <v>3.90000009536743</v>
      </c>
      <c r="G367" s="3">
        <v>0.0</v>
      </c>
      <c r="H367" s="3">
        <v>2.88000011444092</v>
      </c>
      <c r="I367" s="3">
        <v>0.560000002384186</v>
      </c>
      <c r="J367" s="3">
        <v>0.46000000834465</v>
      </c>
      <c r="K367" s="3">
        <v>0.0</v>
      </c>
      <c r="L367" s="3">
        <v>43.0</v>
      </c>
      <c r="M367" s="3">
        <v>9.0</v>
      </c>
      <c r="N367" s="3">
        <v>48.0</v>
      </c>
      <c r="O367" s="3">
        <v>146.0</v>
      </c>
      <c r="P367" s="3">
        <v>917.0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3">
        <v>7.007744171E9</v>
      </c>
      <c r="B368" s="4">
        <v>42461.0</v>
      </c>
      <c r="C368" s="5">
        <f t="shared" si="1"/>
        <v>42461</v>
      </c>
      <c r="D368" s="3">
        <v>11680.0</v>
      </c>
      <c r="E368" s="3">
        <v>9.0600004196167</v>
      </c>
      <c r="F368" s="3">
        <v>7.80999994277954</v>
      </c>
      <c r="G368" s="3">
        <v>4.901282787323</v>
      </c>
      <c r="H368" s="3">
        <v>4.48999977111816</v>
      </c>
      <c r="I368" s="3">
        <v>0.330000013113022</v>
      </c>
      <c r="J368" s="3">
        <v>4.23999977111816</v>
      </c>
      <c r="K368" s="3">
        <v>0.0</v>
      </c>
      <c r="L368" s="3">
        <v>50.0</v>
      </c>
      <c r="M368" s="3">
        <v>7.0</v>
      </c>
      <c r="N368" s="3">
        <v>244.0</v>
      </c>
      <c r="O368" s="3">
        <v>1139.0</v>
      </c>
      <c r="P368" s="3">
        <v>2573.0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3">
        <v>7.007744171E9</v>
      </c>
      <c r="B369" s="4">
        <v>42462.0</v>
      </c>
      <c r="C369" s="5">
        <f t="shared" si="1"/>
        <v>42462</v>
      </c>
      <c r="D369" s="3">
        <v>10976.0</v>
      </c>
      <c r="E369" s="3">
        <v>7.34000015258789</v>
      </c>
      <c r="F369" s="3">
        <v>7.34000015258789</v>
      </c>
      <c r="G369" s="3">
        <v>0.0</v>
      </c>
      <c r="H369" s="3">
        <v>0.550000011920929</v>
      </c>
      <c r="I369" s="3">
        <v>0.670000016689301</v>
      </c>
      <c r="J369" s="3">
        <v>6.13000011444092</v>
      </c>
      <c r="K369" s="3">
        <v>0.0</v>
      </c>
      <c r="L369" s="3">
        <v>9.0</v>
      </c>
      <c r="M369" s="3">
        <v>16.0</v>
      </c>
      <c r="N369" s="3">
        <v>271.0</v>
      </c>
      <c r="O369" s="3">
        <v>1075.0</v>
      </c>
      <c r="P369" s="3">
        <v>2575.0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3">
        <v>7.007744171E9</v>
      </c>
      <c r="B370" s="4">
        <v>42463.0</v>
      </c>
      <c r="C370" s="5">
        <f t="shared" si="1"/>
        <v>42463</v>
      </c>
      <c r="D370" s="3">
        <v>16806.0</v>
      </c>
      <c r="E370" s="3">
        <v>11.2399997711182</v>
      </c>
      <c r="F370" s="3">
        <v>11.2399997711182</v>
      </c>
      <c r="G370" s="3">
        <v>0.0</v>
      </c>
      <c r="H370" s="3">
        <v>6.40999984741211</v>
      </c>
      <c r="I370" s="3">
        <v>1.37000000476837</v>
      </c>
      <c r="J370" s="3">
        <v>3.47000002861023</v>
      </c>
      <c r="K370" s="3">
        <v>0.0</v>
      </c>
      <c r="L370" s="3">
        <v>104.0</v>
      </c>
      <c r="M370" s="3">
        <v>31.0</v>
      </c>
      <c r="N370" s="3">
        <v>230.0</v>
      </c>
      <c r="O370" s="3">
        <v>1002.0</v>
      </c>
      <c r="P370" s="3">
        <v>3086.0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3">
        <v>7.007744171E9</v>
      </c>
      <c r="B371" s="4">
        <v>42464.0</v>
      </c>
      <c r="C371" s="5">
        <f t="shared" si="1"/>
        <v>42464</v>
      </c>
      <c r="D371" s="3">
        <v>15266.0</v>
      </c>
      <c r="E371" s="3">
        <v>11.3999996185303</v>
      </c>
      <c r="F371" s="3">
        <v>10.210000038147</v>
      </c>
      <c r="G371" s="3">
        <v>5.18984985351563</v>
      </c>
      <c r="H371" s="3">
        <v>5.80000019073486</v>
      </c>
      <c r="I371" s="3">
        <v>0.759999990463257</v>
      </c>
      <c r="J371" s="3">
        <v>4.78999996185303</v>
      </c>
      <c r="K371" s="3">
        <v>0.0500000007450581</v>
      </c>
      <c r="L371" s="3">
        <v>70.0</v>
      </c>
      <c r="M371" s="3">
        <v>21.0</v>
      </c>
      <c r="N371" s="3">
        <v>292.0</v>
      </c>
      <c r="O371" s="3">
        <v>1057.0</v>
      </c>
      <c r="P371" s="3">
        <v>2886.0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3">
        <v>7.007744171E9</v>
      </c>
      <c r="B372" s="4">
        <v>42465.0</v>
      </c>
      <c r="C372" s="5">
        <f t="shared" si="1"/>
        <v>42465</v>
      </c>
      <c r="D372" s="3">
        <v>12084.0</v>
      </c>
      <c r="E372" s="3">
        <v>9.14000034332275</v>
      </c>
      <c r="F372" s="3">
        <v>8.07999992370605</v>
      </c>
      <c r="G372" s="3">
        <v>4.83638000488281</v>
      </c>
      <c r="H372" s="3">
        <v>4.3899998664856</v>
      </c>
      <c r="I372" s="3">
        <v>0.46000000834465</v>
      </c>
      <c r="J372" s="3">
        <v>4.28999996185303</v>
      </c>
      <c r="K372" s="3">
        <v>0.0</v>
      </c>
      <c r="L372" s="3">
        <v>50.0</v>
      </c>
      <c r="M372" s="3">
        <v>6.0</v>
      </c>
      <c r="N372" s="3">
        <v>284.0</v>
      </c>
      <c r="O372" s="3">
        <v>1030.0</v>
      </c>
      <c r="P372" s="3">
        <v>2676.0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3">
        <v>7.007744171E9</v>
      </c>
      <c r="B373" s="4">
        <v>42466.0</v>
      </c>
      <c r="C373" s="5">
        <f t="shared" si="1"/>
        <v>42466</v>
      </c>
      <c r="D373" s="3">
        <v>13513.0</v>
      </c>
      <c r="E373" s="3">
        <v>10.25</v>
      </c>
      <c r="F373" s="3">
        <v>9.06999969482422</v>
      </c>
      <c r="G373" s="3">
        <v>4.83572006225586</v>
      </c>
      <c r="H373" s="3">
        <v>5.34999990463257</v>
      </c>
      <c r="I373" s="3">
        <v>0.330000013113022</v>
      </c>
      <c r="J373" s="3">
        <v>4.55999994277954</v>
      </c>
      <c r="K373" s="3">
        <v>0.0</v>
      </c>
      <c r="L373" s="3">
        <v>64.0</v>
      </c>
      <c r="M373" s="3">
        <v>8.0</v>
      </c>
      <c r="N373" s="3">
        <v>270.0</v>
      </c>
      <c r="O373" s="3">
        <v>1098.0</v>
      </c>
      <c r="P373" s="3">
        <v>2811.0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3">
        <v>7.007744171E9</v>
      </c>
      <c r="B374" s="4">
        <v>42467.0</v>
      </c>
      <c r="C374" s="5">
        <f t="shared" si="1"/>
        <v>42467</v>
      </c>
      <c r="D374" s="3">
        <v>14100.0</v>
      </c>
      <c r="E374" s="3">
        <v>10.5799999237061</v>
      </c>
      <c r="F374" s="3">
        <v>9.43000030517578</v>
      </c>
      <c r="G374" s="3">
        <v>4.87598991394043</v>
      </c>
      <c r="H374" s="3">
        <v>5.09999990463257</v>
      </c>
      <c r="I374" s="3">
        <v>1.19000005722046</v>
      </c>
      <c r="J374" s="3">
        <v>4.28000020980835</v>
      </c>
      <c r="K374" s="3">
        <v>0.0</v>
      </c>
      <c r="L374" s="3">
        <v>61.0</v>
      </c>
      <c r="M374" s="3">
        <v>33.0</v>
      </c>
      <c r="N374" s="3">
        <v>265.0</v>
      </c>
      <c r="O374" s="3">
        <v>1015.0</v>
      </c>
      <c r="P374" s="3">
        <v>2840.0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3">
        <v>7.007744171E9</v>
      </c>
      <c r="B375" s="4">
        <v>42468.0</v>
      </c>
      <c r="C375" s="5">
        <f t="shared" si="1"/>
        <v>42468</v>
      </c>
      <c r="D375" s="3">
        <v>12627.0</v>
      </c>
      <c r="E375" s="3">
        <v>9.64999961853027</v>
      </c>
      <c r="F375" s="3">
        <v>8.44999980926514</v>
      </c>
      <c r="G375" s="3">
        <v>4.84231996536255</v>
      </c>
      <c r="H375" s="3">
        <v>4.69999980926514</v>
      </c>
      <c r="I375" s="3">
        <v>0.740000009536743</v>
      </c>
      <c r="J375" s="3">
        <v>4.21000003814697</v>
      </c>
      <c r="K375" s="3">
        <v>0.0</v>
      </c>
      <c r="L375" s="3">
        <v>54.0</v>
      </c>
      <c r="M375" s="3">
        <v>22.0</v>
      </c>
      <c r="N375" s="3">
        <v>301.0</v>
      </c>
      <c r="O375" s="3">
        <v>1063.0</v>
      </c>
      <c r="P375" s="3">
        <v>2871.0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3">
        <v>7.007744171E9</v>
      </c>
      <c r="B376" s="4">
        <v>42469.0</v>
      </c>
      <c r="C376" s="5">
        <f t="shared" si="1"/>
        <v>42469</v>
      </c>
      <c r="D376" s="3">
        <v>10345.0</v>
      </c>
      <c r="E376" s="3">
        <v>6.92000007629395</v>
      </c>
      <c r="F376" s="3">
        <v>6.92000007629395</v>
      </c>
      <c r="G376" s="3">
        <v>0.0</v>
      </c>
      <c r="H376" s="3">
        <v>0.0700000002980232</v>
      </c>
      <c r="I376" s="3">
        <v>0.270000010728836</v>
      </c>
      <c r="J376" s="3">
        <v>6.57999992370605</v>
      </c>
      <c r="K376" s="3">
        <v>0.0</v>
      </c>
      <c r="L376" s="3">
        <v>2.0</v>
      </c>
      <c r="M376" s="3">
        <v>6.0</v>
      </c>
      <c r="N376" s="3">
        <v>358.0</v>
      </c>
      <c r="O376" s="3">
        <v>1074.0</v>
      </c>
      <c r="P376" s="3">
        <v>2613.0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3">
        <v>7.007744171E9</v>
      </c>
      <c r="B377" s="4">
        <v>42470.0</v>
      </c>
      <c r="C377" s="5">
        <f t="shared" si="1"/>
        <v>42470</v>
      </c>
      <c r="D377" s="3">
        <v>10146.0</v>
      </c>
      <c r="E377" s="3">
        <v>6.78999996185303</v>
      </c>
      <c r="F377" s="3">
        <v>6.78999996185303</v>
      </c>
      <c r="G377" s="3">
        <v>0.0</v>
      </c>
      <c r="H377" s="3">
        <v>0.0700000002980232</v>
      </c>
      <c r="I377" s="3">
        <v>0.610000014305115</v>
      </c>
      <c r="J377" s="3">
        <v>6.1100001335144</v>
      </c>
      <c r="K377" s="3">
        <v>0.0</v>
      </c>
      <c r="L377" s="3">
        <v>1.0</v>
      </c>
      <c r="M377" s="3">
        <v>12.0</v>
      </c>
      <c r="N377" s="3">
        <v>397.0</v>
      </c>
      <c r="O377" s="3">
        <v>1030.0</v>
      </c>
      <c r="P377" s="3">
        <v>2700.0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3">
        <v>7.007744171E9</v>
      </c>
      <c r="B378" s="4">
        <v>42471.0</v>
      </c>
      <c r="C378" s="5">
        <f t="shared" si="1"/>
        <v>42471</v>
      </c>
      <c r="D378" s="3">
        <v>12168.0</v>
      </c>
      <c r="E378" s="3">
        <v>8.14000034332275</v>
      </c>
      <c r="F378" s="3">
        <v>8.14000034332275</v>
      </c>
      <c r="G378" s="3">
        <v>0.0</v>
      </c>
      <c r="H378" s="3">
        <v>1.04999995231628</v>
      </c>
      <c r="I378" s="3">
        <v>0.790000021457672</v>
      </c>
      <c r="J378" s="3">
        <v>6.28999996185303</v>
      </c>
      <c r="K378" s="3">
        <v>0.0</v>
      </c>
      <c r="L378" s="3">
        <v>18.0</v>
      </c>
      <c r="M378" s="3">
        <v>27.0</v>
      </c>
      <c r="N378" s="3">
        <v>375.0</v>
      </c>
      <c r="O378" s="3">
        <v>1020.0</v>
      </c>
      <c r="P378" s="3">
        <v>2871.0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3">
        <v>7.007744171E9</v>
      </c>
      <c r="B379" s="4">
        <v>42472.0</v>
      </c>
      <c r="C379" s="5">
        <f t="shared" si="1"/>
        <v>42472</v>
      </c>
      <c r="D379" s="3">
        <v>7413.0</v>
      </c>
      <c r="E379" s="3">
        <v>5.76999998092651</v>
      </c>
      <c r="F379" s="3">
        <v>4.96000003814697</v>
      </c>
      <c r="G379" s="3">
        <v>4.8697829246521</v>
      </c>
      <c r="H379" s="3">
        <v>4.5</v>
      </c>
      <c r="I379" s="3">
        <v>0.340000003576279</v>
      </c>
      <c r="J379" s="3">
        <v>0.939999997615814</v>
      </c>
      <c r="K379" s="3">
        <v>0.0</v>
      </c>
      <c r="L379" s="3">
        <v>53.0</v>
      </c>
      <c r="M379" s="3">
        <v>6.0</v>
      </c>
      <c r="N379" s="3">
        <v>43.0</v>
      </c>
      <c r="O379" s="3">
        <v>405.0</v>
      </c>
      <c r="P379" s="3">
        <v>1023.0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3">
        <v>7.086361926E9</v>
      </c>
      <c r="B380" s="4">
        <v>42461.0</v>
      </c>
      <c r="C380" s="5">
        <f t="shared" si="1"/>
        <v>42461</v>
      </c>
      <c r="D380" s="3">
        <v>11463.0</v>
      </c>
      <c r="E380" s="3">
        <v>7.67000007629395</v>
      </c>
      <c r="F380" s="3">
        <v>7.67000007629395</v>
      </c>
      <c r="G380" s="3">
        <v>0.0</v>
      </c>
      <c r="H380" s="3">
        <v>2.82999992370605</v>
      </c>
      <c r="I380" s="3">
        <v>1.88999998569489</v>
      </c>
      <c r="J380" s="3">
        <v>2.9300000667572</v>
      </c>
      <c r="K380" s="3">
        <v>0.0</v>
      </c>
      <c r="L380" s="3">
        <v>38.0</v>
      </c>
      <c r="M380" s="3">
        <v>30.0</v>
      </c>
      <c r="N380" s="3">
        <v>154.0</v>
      </c>
      <c r="O380" s="3">
        <v>777.0</v>
      </c>
      <c r="P380" s="3">
        <v>2496.0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3">
        <v>7.086361926E9</v>
      </c>
      <c r="B381" s="4">
        <v>42462.0</v>
      </c>
      <c r="C381" s="5">
        <f t="shared" si="1"/>
        <v>42462</v>
      </c>
      <c r="D381" s="3">
        <v>87.0</v>
      </c>
      <c r="E381" s="3">
        <v>0.0199999995529652</v>
      </c>
      <c r="F381" s="3">
        <v>0.0199999995529652</v>
      </c>
      <c r="G381" s="3">
        <v>0.0</v>
      </c>
      <c r="H381" s="3">
        <v>0.0</v>
      </c>
      <c r="I381" s="3">
        <v>0.0</v>
      </c>
      <c r="J381" s="3">
        <v>0.00999999977648258</v>
      </c>
      <c r="K381" s="3">
        <v>0.0</v>
      </c>
      <c r="L381" s="3">
        <v>0.0</v>
      </c>
      <c r="M381" s="3">
        <v>0.0</v>
      </c>
      <c r="N381" s="3">
        <v>2.0</v>
      </c>
      <c r="O381" s="3">
        <v>872.0</v>
      </c>
      <c r="P381" s="3">
        <v>1641.0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3">
        <v>7.086361926E9</v>
      </c>
      <c r="B382" s="4">
        <v>42463.0</v>
      </c>
      <c r="C382" s="5">
        <f t="shared" si="1"/>
        <v>42463</v>
      </c>
      <c r="D382" s="3">
        <v>1949.0</v>
      </c>
      <c r="E382" s="3">
        <v>1.30999994277954</v>
      </c>
      <c r="F382" s="3">
        <v>1.30999994277954</v>
      </c>
      <c r="G382" s="3">
        <v>0.0</v>
      </c>
      <c r="H382" s="3">
        <v>0.230000004172325</v>
      </c>
      <c r="I382" s="3">
        <v>0.349999994039536</v>
      </c>
      <c r="J382" s="3">
        <v>0.730000019073486</v>
      </c>
      <c r="K382" s="3">
        <v>0.0</v>
      </c>
      <c r="L382" s="3">
        <v>3.0</v>
      </c>
      <c r="M382" s="3">
        <v>6.0</v>
      </c>
      <c r="N382" s="3">
        <v>27.0</v>
      </c>
      <c r="O382" s="3">
        <v>1404.0</v>
      </c>
      <c r="P382" s="3">
        <v>1794.0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3">
        <v>7.086361926E9</v>
      </c>
      <c r="B383" s="4">
        <v>42464.0</v>
      </c>
      <c r="C383" s="5">
        <f t="shared" si="1"/>
        <v>42464</v>
      </c>
      <c r="D383" s="3">
        <v>6101.0</v>
      </c>
      <c r="E383" s="3">
        <v>3.86999988555908</v>
      </c>
      <c r="F383" s="3">
        <v>3.86999988555908</v>
      </c>
      <c r="G383" s="3">
        <v>0.0</v>
      </c>
      <c r="H383" s="3">
        <v>0.529999971389771</v>
      </c>
      <c r="I383" s="3">
        <v>0.230000004172325</v>
      </c>
      <c r="J383" s="3">
        <v>3.09999990463257</v>
      </c>
      <c r="K383" s="3">
        <v>0.0</v>
      </c>
      <c r="L383" s="3">
        <v>31.0</v>
      </c>
      <c r="M383" s="3">
        <v>24.0</v>
      </c>
      <c r="N383" s="3">
        <v>138.0</v>
      </c>
      <c r="O383" s="3">
        <v>1247.0</v>
      </c>
      <c r="P383" s="3">
        <v>2421.0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3">
        <v>7.086361926E9</v>
      </c>
      <c r="B384" s="4">
        <v>42465.0</v>
      </c>
      <c r="C384" s="5">
        <f t="shared" si="1"/>
        <v>42465</v>
      </c>
      <c r="D384" s="3">
        <v>7478.0</v>
      </c>
      <c r="E384" s="3">
        <v>4.98999977111816</v>
      </c>
      <c r="F384" s="3">
        <v>4.98999977111816</v>
      </c>
      <c r="G384" s="3">
        <v>0.0</v>
      </c>
      <c r="H384" s="3">
        <v>1.79999995231628</v>
      </c>
      <c r="I384" s="3">
        <v>0.529999971389771</v>
      </c>
      <c r="J384" s="3">
        <v>2.60999989509583</v>
      </c>
      <c r="K384" s="3">
        <v>0.0299999993294477</v>
      </c>
      <c r="L384" s="3">
        <v>25.0</v>
      </c>
      <c r="M384" s="3">
        <v>33.0</v>
      </c>
      <c r="N384" s="3">
        <v>132.0</v>
      </c>
      <c r="O384" s="3">
        <v>1159.0</v>
      </c>
      <c r="P384" s="3">
        <v>2439.0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3">
        <v>7.086361926E9</v>
      </c>
      <c r="B385" s="4">
        <v>42466.0</v>
      </c>
      <c r="C385" s="5">
        <f t="shared" si="1"/>
        <v>42466</v>
      </c>
      <c r="D385" s="3">
        <v>7352.0</v>
      </c>
      <c r="E385" s="3">
        <v>4.73000001907349</v>
      </c>
      <c r="F385" s="3">
        <v>4.73000001907349</v>
      </c>
      <c r="G385" s="3">
        <v>0.0</v>
      </c>
      <c r="H385" s="3">
        <v>1.4099999666214</v>
      </c>
      <c r="I385" s="3">
        <v>0.779999971389771</v>
      </c>
      <c r="J385" s="3">
        <v>2.52999997138977</v>
      </c>
      <c r="K385" s="3">
        <v>0.0</v>
      </c>
      <c r="L385" s="3">
        <v>19.0</v>
      </c>
      <c r="M385" s="3">
        <v>14.0</v>
      </c>
      <c r="N385" s="3">
        <v>124.0</v>
      </c>
      <c r="O385" s="3">
        <v>814.0</v>
      </c>
      <c r="P385" s="3">
        <v>2233.0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3">
        <v>7.086361926E9</v>
      </c>
      <c r="B386" s="4">
        <v>42467.0</v>
      </c>
      <c r="C386" s="5">
        <f t="shared" si="1"/>
        <v>42467</v>
      </c>
      <c r="D386" s="3">
        <v>14604.0</v>
      </c>
      <c r="E386" s="3">
        <v>10.8199996948242</v>
      </c>
      <c r="F386" s="3">
        <v>10.8199996948242</v>
      </c>
      <c r="G386" s="3">
        <v>0.0</v>
      </c>
      <c r="H386" s="3">
        <v>7.23000001907349</v>
      </c>
      <c r="I386" s="3">
        <v>1.12000000476837</v>
      </c>
      <c r="J386" s="3">
        <v>2.4300000667572</v>
      </c>
      <c r="K386" s="3">
        <v>0.0299999993294477</v>
      </c>
      <c r="L386" s="3">
        <v>76.0</v>
      </c>
      <c r="M386" s="3">
        <v>30.0</v>
      </c>
      <c r="N386" s="3">
        <v>127.0</v>
      </c>
      <c r="O386" s="3">
        <v>695.0</v>
      </c>
      <c r="P386" s="3">
        <v>2862.0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3">
        <v>7.086361926E9</v>
      </c>
      <c r="B387" s="4">
        <v>42468.0</v>
      </c>
      <c r="C387" s="5">
        <f t="shared" si="1"/>
        <v>42468</v>
      </c>
      <c r="D387" s="3">
        <v>9634.0</v>
      </c>
      <c r="E387" s="3">
        <v>6.51999998092651</v>
      </c>
      <c r="F387" s="3">
        <v>6.51999998092651</v>
      </c>
      <c r="G387" s="3">
        <v>0.0</v>
      </c>
      <c r="H387" s="3">
        <v>2.5</v>
      </c>
      <c r="I387" s="3">
        <v>1.39999997615814</v>
      </c>
      <c r="J387" s="3">
        <v>2.58999991416931</v>
      </c>
      <c r="K387" s="3">
        <v>0.0</v>
      </c>
      <c r="L387" s="3">
        <v>50.0</v>
      </c>
      <c r="M387" s="3">
        <v>48.0</v>
      </c>
      <c r="N387" s="3">
        <v>140.0</v>
      </c>
      <c r="O387" s="3">
        <v>797.0</v>
      </c>
      <c r="P387" s="3">
        <v>2752.0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3">
        <v>7.086361926E9</v>
      </c>
      <c r="B388" s="4">
        <v>42469.0</v>
      </c>
      <c r="C388" s="5">
        <f t="shared" si="1"/>
        <v>42469</v>
      </c>
      <c r="D388" s="3">
        <v>7338.0</v>
      </c>
      <c r="E388" s="3">
        <v>4.67000007629395</v>
      </c>
      <c r="F388" s="3">
        <v>4.67000007629395</v>
      </c>
      <c r="G388" s="3">
        <v>0.0</v>
      </c>
      <c r="H388" s="3">
        <v>1.08000004291534</v>
      </c>
      <c r="I388" s="3">
        <v>0.129999995231628</v>
      </c>
      <c r="J388" s="3">
        <v>3.46000003814697</v>
      </c>
      <c r="K388" s="3">
        <v>0.0</v>
      </c>
      <c r="L388" s="3">
        <v>27.0</v>
      </c>
      <c r="M388" s="3">
        <v>5.0</v>
      </c>
      <c r="N388" s="3">
        <v>204.0</v>
      </c>
      <c r="O388" s="3">
        <v>717.0</v>
      </c>
      <c r="P388" s="3">
        <v>2519.0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3">
        <v>7.086361926E9</v>
      </c>
      <c r="B389" s="4">
        <v>42470.0</v>
      </c>
      <c r="C389" s="5">
        <f t="shared" si="1"/>
        <v>42470</v>
      </c>
      <c r="D389" s="3">
        <v>569.0</v>
      </c>
      <c r="E389" s="3">
        <v>0.349999994039536</v>
      </c>
      <c r="F389" s="3">
        <v>0.349999994039536</v>
      </c>
      <c r="G389" s="3">
        <v>0.0</v>
      </c>
      <c r="H389" s="3">
        <v>0.0</v>
      </c>
      <c r="I389" s="3">
        <v>0.0</v>
      </c>
      <c r="J389" s="3">
        <v>0.340000003576279</v>
      </c>
      <c r="K389" s="3">
        <v>0.0</v>
      </c>
      <c r="L389" s="3">
        <v>0.0</v>
      </c>
      <c r="M389" s="3">
        <v>0.0</v>
      </c>
      <c r="N389" s="3">
        <v>27.0</v>
      </c>
      <c r="O389" s="3">
        <v>1368.0</v>
      </c>
      <c r="P389" s="3">
        <v>1799.0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3">
        <v>7.086361926E9</v>
      </c>
      <c r="B390" s="4">
        <v>42471.0</v>
      </c>
      <c r="C390" s="5">
        <f t="shared" si="1"/>
        <v>42471</v>
      </c>
      <c r="D390" s="3">
        <v>6242.0</v>
      </c>
      <c r="E390" s="3">
        <v>3.92000007629395</v>
      </c>
      <c r="F390" s="3">
        <v>3.92000007629395</v>
      </c>
      <c r="G390" s="3">
        <v>0.0</v>
      </c>
      <c r="H390" s="3">
        <v>0.740000009536743</v>
      </c>
      <c r="I390" s="3">
        <v>0.230000004172325</v>
      </c>
      <c r="J390" s="3">
        <v>2.9300000667572</v>
      </c>
      <c r="K390" s="3">
        <v>0.0</v>
      </c>
      <c r="L390" s="3">
        <v>46.0</v>
      </c>
      <c r="M390" s="3">
        <v>22.0</v>
      </c>
      <c r="N390" s="3">
        <v>126.0</v>
      </c>
      <c r="O390" s="3">
        <v>741.0</v>
      </c>
      <c r="P390" s="3">
        <v>2543.0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3">
        <v>7.086361926E9</v>
      </c>
      <c r="B391" s="4">
        <v>42472.0</v>
      </c>
      <c r="C391" s="5">
        <f t="shared" si="1"/>
        <v>42472</v>
      </c>
      <c r="D391" s="3">
        <v>430.0</v>
      </c>
      <c r="E391" s="3">
        <v>0.259999990463257</v>
      </c>
      <c r="F391" s="3">
        <v>0.259999990463257</v>
      </c>
      <c r="G391" s="3">
        <v>0.0</v>
      </c>
      <c r="H391" s="3">
        <v>0.0</v>
      </c>
      <c r="I391" s="3">
        <v>0.0</v>
      </c>
      <c r="J391" s="3">
        <v>0.259999990463257</v>
      </c>
      <c r="K391" s="3">
        <v>0.0</v>
      </c>
      <c r="L391" s="3">
        <v>0.0</v>
      </c>
      <c r="M391" s="3">
        <v>0.0</v>
      </c>
      <c r="N391" s="3">
        <v>14.0</v>
      </c>
      <c r="O391" s="3">
        <v>75.0</v>
      </c>
      <c r="P391" s="3">
        <v>625.0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3">
        <v>8.053475328E9</v>
      </c>
      <c r="B392" s="4">
        <v>42462.0</v>
      </c>
      <c r="C392" s="5">
        <f t="shared" si="1"/>
        <v>42462</v>
      </c>
      <c r="D392" s="3">
        <v>20188.0</v>
      </c>
      <c r="E392" s="3">
        <v>15.6199998855591</v>
      </c>
      <c r="F392" s="3">
        <v>15.6199998855591</v>
      </c>
      <c r="G392" s="3">
        <v>0.0</v>
      </c>
      <c r="H392" s="3">
        <v>12.0600004196167</v>
      </c>
      <c r="I392" s="3">
        <v>0.850000023841858</v>
      </c>
      <c r="J392" s="3">
        <v>2.71000003814697</v>
      </c>
      <c r="K392" s="3">
        <v>0.0</v>
      </c>
      <c r="L392" s="3">
        <v>124.0</v>
      </c>
      <c r="M392" s="3">
        <v>19.0</v>
      </c>
      <c r="N392" s="3">
        <v>172.0</v>
      </c>
      <c r="O392" s="3">
        <v>1125.0</v>
      </c>
      <c r="P392" s="3">
        <v>3377.0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3">
        <v>8.053475328E9</v>
      </c>
      <c r="B393" s="4">
        <v>42463.0</v>
      </c>
      <c r="C393" s="5">
        <f t="shared" si="1"/>
        <v>42463</v>
      </c>
      <c r="D393" s="3">
        <v>25701.0</v>
      </c>
      <c r="E393" s="3">
        <v>20.1399993896484</v>
      </c>
      <c r="F393" s="3">
        <v>20.1399993896484</v>
      </c>
      <c r="G393" s="3">
        <v>0.0</v>
      </c>
      <c r="H393" s="3">
        <v>16.8199996948242</v>
      </c>
      <c r="I393" s="3">
        <v>1.62999999523163</v>
      </c>
      <c r="J393" s="3">
        <v>1.69000005722046</v>
      </c>
      <c r="K393" s="3">
        <v>0.0</v>
      </c>
      <c r="L393" s="3">
        <v>165.0</v>
      </c>
      <c r="M393" s="3">
        <v>36.0</v>
      </c>
      <c r="N393" s="3">
        <v>97.0</v>
      </c>
      <c r="O393" s="3">
        <v>1142.0</v>
      </c>
      <c r="P393" s="3">
        <v>3697.0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3">
        <v>8.053475328E9</v>
      </c>
      <c r="B394" s="4">
        <v>42464.0</v>
      </c>
      <c r="C394" s="5">
        <f t="shared" si="1"/>
        <v>42464</v>
      </c>
      <c r="D394" s="3">
        <v>17395.0</v>
      </c>
      <c r="E394" s="3">
        <v>13.210000038147</v>
      </c>
      <c r="F394" s="3">
        <v>13.210000038147</v>
      </c>
      <c r="G394" s="3">
        <v>0.0</v>
      </c>
      <c r="H394" s="3">
        <v>9.67000007629395</v>
      </c>
      <c r="I394" s="3">
        <v>0.180000007152557</v>
      </c>
      <c r="J394" s="3">
        <v>3.34999990463257</v>
      </c>
      <c r="K394" s="3">
        <v>0.0</v>
      </c>
      <c r="L394" s="3">
        <v>100.0</v>
      </c>
      <c r="M394" s="3">
        <v>4.0</v>
      </c>
      <c r="N394" s="3">
        <v>213.0</v>
      </c>
      <c r="O394" s="3">
        <v>1123.0</v>
      </c>
      <c r="P394" s="3">
        <v>3209.0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3">
        <v>8.053475328E9</v>
      </c>
      <c r="B395" s="4">
        <v>42465.0</v>
      </c>
      <c r="C395" s="5">
        <f t="shared" si="1"/>
        <v>42465</v>
      </c>
      <c r="D395" s="3">
        <v>17167.0</v>
      </c>
      <c r="E395" s="3">
        <v>13.4099998474121</v>
      </c>
      <c r="F395" s="3">
        <v>13.4099998474121</v>
      </c>
      <c r="G395" s="3">
        <v>0.0</v>
      </c>
      <c r="H395" s="3">
        <v>9.96000003814697</v>
      </c>
      <c r="I395" s="3">
        <v>0.310000002384186</v>
      </c>
      <c r="J395" s="3">
        <v>3.14000010490417</v>
      </c>
      <c r="K395" s="3">
        <v>0.0</v>
      </c>
      <c r="L395" s="3">
        <v>98.0</v>
      </c>
      <c r="M395" s="3">
        <v>8.0</v>
      </c>
      <c r="N395" s="3">
        <v>184.0</v>
      </c>
      <c r="O395" s="3">
        <v>1150.0</v>
      </c>
      <c r="P395" s="3">
        <v>3167.0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3">
        <v>8.053475328E9</v>
      </c>
      <c r="B396" s="4">
        <v>42466.0</v>
      </c>
      <c r="C396" s="5">
        <f t="shared" si="1"/>
        <v>42466</v>
      </c>
      <c r="D396" s="3">
        <v>16435.0</v>
      </c>
      <c r="E396" s="3">
        <v>12.4200000762939</v>
      </c>
      <c r="F396" s="3">
        <v>12.4200000762939</v>
      </c>
      <c r="G396" s="3">
        <v>0.0</v>
      </c>
      <c r="H396" s="3">
        <v>8.96000003814697</v>
      </c>
      <c r="I396" s="3">
        <v>0.550000011920929</v>
      </c>
      <c r="J396" s="3">
        <v>2.91000008583069</v>
      </c>
      <c r="K396" s="3">
        <v>0.0</v>
      </c>
      <c r="L396" s="3">
        <v>100.0</v>
      </c>
      <c r="M396" s="3">
        <v>14.0</v>
      </c>
      <c r="N396" s="3">
        <v>191.0</v>
      </c>
      <c r="O396" s="3">
        <v>1135.0</v>
      </c>
      <c r="P396" s="3">
        <v>3122.0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3">
        <v>8.053475328E9</v>
      </c>
      <c r="B397" s="4">
        <v>42467.0</v>
      </c>
      <c r="C397" s="5">
        <f t="shared" si="1"/>
        <v>42467</v>
      </c>
      <c r="D397" s="3">
        <v>17078.0</v>
      </c>
      <c r="E397" s="3">
        <v>13.1999998092651</v>
      </c>
      <c r="F397" s="3">
        <v>13.1999998092651</v>
      </c>
      <c r="G397" s="3">
        <v>0.0</v>
      </c>
      <c r="H397" s="3">
        <v>9.97000026702881</v>
      </c>
      <c r="I397" s="3">
        <v>0.239999994635582</v>
      </c>
      <c r="J397" s="3">
        <v>2.99000000953674</v>
      </c>
      <c r="K397" s="3">
        <v>0.0</v>
      </c>
      <c r="L397" s="3">
        <v>101.0</v>
      </c>
      <c r="M397" s="3">
        <v>6.0</v>
      </c>
      <c r="N397" s="3">
        <v>190.0</v>
      </c>
      <c r="O397" s="3">
        <v>1143.0</v>
      </c>
      <c r="P397" s="3">
        <v>3176.0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3">
        <v>8.053475328E9</v>
      </c>
      <c r="B398" s="4">
        <v>42468.0</v>
      </c>
      <c r="C398" s="5">
        <f t="shared" si="1"/>
        <v>42468</v>
      </c>
      <c r="D398" s="3">
        <v>11693.0</v>
      </c>
      <c r="E398" s="3">
        <v>9.53999996185303</v>
      </c>
      <c r="F398" s="3">
        <v>9.53999996185303</v>
      </c>
      <c r="G398" s="3">
        <v>0.0</v>
      </c>
      <c r="H398" s="3">
        <v>6.76999998092651</v>
      </c>
      <c r="I398" s="3">
        <v>0.259999990463257</v>
      </c>
      <c r="J398" s="3">
        <v>2.5</v>
      </c>
      <c r="K398" s="3">
        <v>0.0</v>
      </c>
      <c r="L398" s="3">
        <v>60.0</v>
      </c>
      <c r="M398" s="3">
        <v>6.0</v>
      </c>
      <c r="N398" s="3">
        <v>153.0</v>
      </c>
      <c r="O398" s="3">
        <v>1221.0</v>
      </c>
      <c r="P398" s="3">
        <v>2790.0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3">
        <v>8.053475328E9</v>
      </c>
      <c r="B399" s="4">
        <v>42469.0</v>
      </c>
      <c r="C399" s="5">
        <f t="shared" si="1"/>
        <v>42469</v>
      </c>
      <c r="D399" s="3">
        <v>11159.0</v>
      </c>
      <c r="E399" s="3">
        <v>9.14000034332275</v>
      </c>
      <c r="F399" s="3">
        <v>9.14000034332275</v>
      </c>
      <c r="G399" s="3">
        <v>0.0</v>
      </c>
      <c r="H399" s="3">
        <v>6.69000005722046</v>
      </c>
      <c r="I399" s="3">
        <v>0.25</v>
      </c>
      <c r="J399" s="3">
        <v>2.19000005722046</v>
      </c>
      <c r="K399" s="3">
        <v>0.0</v>
      </c>
      <c r="L399" s="3">
        <v>59.0</v>
      </c>
      <c r="M399" s="3">
        <v>6.0</v>
      </c>
      <c r="N399" s="3">
        <v>120.0</v>
      </c>
      <c r="O399" s="3">
        <v>1255.0</v>
      </c>
      <c r="P399" s="3">
        <v>2715.0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3">
        <v>8.053475328E9</v>
      </c>
      <c r="B400" s="4">
        <v>42470.0</v>
      </c>
      <c r="C400" s="5">
        <f t="shared" si="1"/>
        <v>42470</v>
      </c>
      <c r="D400" s="3">
        <v>10118.0</v>
      </c>
      <c r="E400" s="3">
        <v>7.73000001907349</v>
      </c>
      <c r="F400" s="3">
        <v>7.73000001907349</v>
      </c>
      <c r="G400" s="3">
        <v>0.0</v>
      </c>
      <c r="H400" s="3">
        <v>3.04999995231628</v>
      </c>
      <c r="I400" s="3">
        <v>0.800000011920929</v>
      </c>
      <c r="J400" s="3">
        <v>3.88000011444092</v>
      </c>
      <c r="K400" s="3">
        <v>0.0</v>
      </c>
      <c r="L400" s="3">
        <v>30.0</v>
      </c>
      <c r="M400" s="3">
        <v>18.0</v>
      </c>
      <c r="N400" s="3">
        <v>207.0</v>
      </c>
      <c r="O400" s="3">
        <v>1185.0</v>
      </c>
      <c r="P400" s="3">
        <v>2684.0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3">
        <v>8.053475328E9</v>
      </c>
      <c r="B401" s="4">
        <v>42471.0</v>
      </c>
      <c r="C401" s="5">
        <f t="shared" si="1"/>
        <v>42471</v>
      </c>
      <c r="D401" s="3">
        <v>16064.0</v>
      </c>
      <c r="E401" s="3">
        <v>12.7200002670288</v>
      </c>
      <c r="F401" s="3">
        <v>12.7200002670288</v>
      </c>
      <c r="G401" s="3">
        <v>0.0</v>
      </c>
      <c r="H401" s="3">
        <v>9.97999954223633</v>
      </c>
      <c r="I401" s="3">
        <v>0.360000014305115</v>
      </c>
      <c r="J401" s="3">
        <v>2.38000011444092</v>
      </c>
      <c r="K401" s="3">
        <v>0.0</v>
      </c>
      <c r="L401" s="3">
        <v>96.0</v>
      </c>
      <c r="M401" s="3">
        <v>8.0</v>
      </c>
      <c r="N401" s="3">
        <v>155.0</v>
      </c>
      <c r="O401" s="3">
        <v>1181.0</v>
      </c>
      <c r="P401" s="3">
        <v>3097.0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3">
        <v>8.053475328E9</v>
      </c>
      <c r="B402" s="4">
        <v>42472.0</v>
      </c>
      <c r="C402" s="5">
        <f t="shared" si="1"/>
        <v>42472</v>
      </c>
      <c r="D402" s="3">
        <v>290.0</v>
      </c>
      <c r="E402" s="3">
        <v>0.209999993443489</v>
      </c>
      <c r="F402" s="3">
        <v>0.209999993443489</v>
      </c>
      <c r="G402" s="3">
        <v>0.0</v>
      </c>
      <c r="H402" s="3">
        <v>0.0</v>
      </c>
      <c r="I402" s="3">
        <v>0.0</v>
      </c>
      <c r="J402" s="3">
        <v>0.209999993443489</v>
      </c>
      <c r="K402" s="3">
        <v>0.0</v>
      </c>
      <c r="L402" s="3">
        <v>0.0</v>
      </c>
      <c r="M402" s="3">
        <v>0.0</v>
      </c>
      <c r="N402" s="3">
        <v>16.0</v>
      </c>
      <c r="O402" s="3">
        <v>599.0</v>
      </c>
      <c r="P402" s="3">
        <v>791.0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3">
        <v>8.253242879E9</v>
      </c>
      <c r="B403" s="4">
        <v>42461.0</v>
      </c>
      <c r="C403" s="5">
        <f t="shared" si="1"/>
        <v>42461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1440.0</v>
      </c>
      <c r="P403" s="3">
        <v>1429.0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3">
        <v>8.253242879E9</v>
      </c>
      <c r="B404" s="4">
        <v>42462.0</v>
      </c>
      <c r="C404" s="5">
        <f t="shared" si="1"/>
        <v>42462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1440.0</v>
      </c>
      <c r="P404" s="3">
        <v>1429.0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3">
        <v>8.253242879E9</v>
      </c>
      <c r="B405" s="4">
        <v>42463.0</v>
      </c>
      <c r="C405" s="5">
        <f t="shared" si="1"/>
        <v>42463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1440.0</v>
      </c>
      <c r="P405" s="3">
        <v>1429.0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3">
        <v>8.253242879E9</v>
      </c>
      <c r="B406" s="4">
        <v>42464.0</v>
      </c>
      <c r="C406" s="5">
        <f t="shared" si="1"/>
        <v>42464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1440.0</v>
      </c>
      <c r="P406" s="3">
        <v>1429.0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3">
        <v>8.253242879E9</v>
      </c>
      <c r="B407" s="4">
        <v>42465.0</v>
      </c>
      <c r="C407" s="5">
        <f t="shared" si="1"/>
        <v>42465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1440.0</v>
      </c>
      <c r="P407" s="3">
        <v>1429.0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3">
        <v>8.253242879E9</v>
      </c>
      <c r="B408" s="4">
        <v>42466.0</v>
      </c>
      <c r="C408" s="5">
        <f t="shared" si="1"/>
        <v>42466</v>
      </c>
      <c r="D408" s="3">
        <v>1931.0</v>
      </c>
      <c r="E408" s="3">
        <v>1.27999997138977</v>
      </c>
      <c r="F408" s="3">
        <v>1.27999997138977</v>
      </c>
      <c r="G408" s="3">
        <v>0.0</v>
      </c>
      <c r="H408" s="3">
        <v>0.0</v>
      </c>
      <c r="I408" s="3">
        <v>0.0</v>
      </c>
      <c r="J408" s="3">
        <v>1.27999997138977</v>
      </c>
      <c r="K408" s="3">
        <v>0.0</v>
      </c>
      <c r="L408" s="3">
        <v>0.0</v>
      </c>
      <c r="M408" s="3">
        <v>0.0</v>
      </c>
      <c r="N408" s="3">
        <v>94.0</v>
      </c>
      <c r="O408" s="3">
        <v>1346.0</v>
      </c>
      <c r="P408" s="3">
        <v>1607.0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3">
        <v>8.253242879E9</v>
      </c>
      <c r="B409" s="4">
        <v>42467.0</v>
      </c>
      <c r="C409" s="5">
        <f t="shared" si="1"/>
        <v>42467</v>
      </c>
      <c r="D409" s="3">
        <v>5181.0</v>
      </c>
      <c r="E409" s="3">
        <v>3.42000007629395</v>
      </c>
      <c r="F409" s="3">
        <v>3.42000007629395</v>
      </c>
      <c r="G409" s="3">
        <v>0.0</v>
      </c>
      <c r="H409" s="3">
        <v>1.0</v>
      </c>
      <c r="I409" s="3">
        <v>0.910000026226044</v>
      </c>
      <c r="J409" s="3">
        <v>1.50999999046326</v>
      </c>
      <c r="K409" s="3">
        <v>0.00999999977648258</v>
      </c>
      <c r="L409" s="3">
        <v>15.0</v>
      </c>
      <c r="M409" s="3">
        <v>15.0</v>
      </c>
      <c r="N409" s="3">
        <v>107.0</v>
      </c>
      <c r="O409" s="3">
        <v>1303.0</v>
      </c>
      <c r="P409" s="3">
        <v>1776.0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3">
        <v>8.253242879E9</v>
      </c>
      <c r="B410" s="4">
        <v>42468.0</v>
      </c>
      <c r="C410" s="5">
        <f t="shared" si="1"/>
        <v>42468</v>
      </c>
      <c r="D410" s="3">
        <v>12026.0</v>
      </c>
      <c r="E410" s="3">
        <v>9.14999961853027</v>
      </c>
      <c r="F410" s="3">
        <v>9.14999961853027</v>
      </c>
      <c r="G410" s="3">
        <v>0.0</v>
      </c>
      <c r="H410" s="3">
        <v>5.69999980926514</v>
      </c>
      <c r="I410" s="3">
        <v>0.930000007152557</v>
      </c>
      <c r="J410" s="3">
        <v>2.50999999046326</v>
      </c>
      <c r="K410" s="3">
        <v>0.0</v>
      </c>
      <c r="L410" s="3">
        <v>47.0</v>
      </c>
      <c r="M410" s="3">
        <v>13.0</v>
      </c>
      <c r="N410" s="3">
        <v>150.0</v>
      </c>
      <c r="O410" s="3">
        <v>1230.0</v>
      </c>
      <c r="P410" s="3">
        <v>2162.0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3">
        <v>8.253242879E9</v>
      </c>
      <c r="B411" s="4">
        <v>42469.0</v>
      </c>
      <c r="C411" s="5">
        <f t="shared" si="1"/>
        <v>42469</v>
      </c>
      <c r="D411" s="3">
        <v>5360.0</v>
      </c>
      <c r="E411" s="3">
        <v>3.53999996185303</v>
      </c>
      <c r="F411" s="3">
        <v>3.53999996185303</v>
      </c>
      <c r="G411" s="3">
        <v>0.0</v>
      </c>
      <c r="H411" s="3">
        <v>0.540000021457672</v>
      </c>
      <c r="I411" s="3">
        <v>1.54999995231628</v>
      </c>
      <c r="J411" s="3">
        <v>1.46000003814697</v>
      </c>
      <c r="K411" s="3">
        <v>0.0</v>
      </c>
      <c r="L411" s="3">
        <v>8.0</v>
      </c>
      <c r="M411" s="3">
        <v>28.0</v>
      </c>
      <c r="N411" s="3">
        <v>148.0</v>
      </c>
      <c r="O411" s="3">
        <v>1256.0</v>
      </c>
      <c r="P411" s="3">
        <v>1832.0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3">
        <v>8.253242879E9</v>
      </c>
      <c r="B412" s="4">
        <v>42470.0</v>
      </c>
      <c r="C412" s="5">
        <f t="shared" si="1"/>
        <v>42470</v>
      </c>
      <c r="D412" s="3">
        <v>2545.0</v>
      </c>
      <c r="E412" s="3">
        <v>1.67999994754791</v>
      </c>
      <c r="F412" s="3">
        <v>1.67999994754791</v>
      </c>
      <c r="G412" s="3">
        <v>0.0</v>
      </c>
      <c r="H412" s="3">
        <v>0.0</v>
      </c>
      <c r="I412" s="3">
        <v>0.0</v>
      </c>
      <c r="J412" s="3">
        <v>1.66999995708466</v>
      </c>
      <c r="K412" s="3">
        <v>0.0199999995529652</v>
      </c>
      <c r="L412" s="3">
        <v>0.0</v>
      </c>
      <c r="M412" s="3">
        <v>0.0</v>
      </c>
      <c r="N412" s="3">
        <v>126.0</v>
      </c>
      <c r="O412" s="3">
        <v>1314.0</v>
      </c>
      <c r="P412" s="3">
        <v>1657.0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3">
        <v>8.253242879E9</v>
      </c>
      <c r="B413" s="4">
        <v>42471.0</v>
      </c>
      <c r="C413" s="5">
        <f t="shared" si="1"/>
        <v>42471</v>
      </c>
      <c r="D413" s="3">
        <v>1636.0</v>
      </c>
      <c r="E413" s="3">
        <v>1.08000004291534</v>
      </c>
      <c r="F413" s="3">
        <v>1.08000004291534</v>
      </c>
      <c r="G413" s="3">
        <v>0.0</v>
      </c>
      <c r="H413" s="3">
        <v>0.0</v>
      </c>
      <c r="I413" s="3">
        <v>0.0</v>
      </c>
      <c r="J413" s="3">
        <v>1.08000004291534</v>
      </c>
      <c r="K413" s="3">
        <v>0.0</v>
      </c>
      <c r="L413" s="3">
        <v>0.0</v>
      </c>
      <c r="M413" s="3">
        <v>0.0</v>
      </c>
      <c r="N413" s="3">
        <v>86.0</v>
      </c>
      <c r="O413" s="3">
        <v>1139.0</v>
      </c>
      <c r="P413" s="3">
        <v>1377.0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3">
        <v>8.253242879E9</v>
      </c>
      <c r="B414" s="4">
        <v>42472.0</v>
      </c>
      <c r="C414" s="5">
        <f t="shared" si="1"/>
        <v>42472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1440.0</v>
      </c>
      <c r="P414" s="3">
        <v>0.0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3">
        <v>8.3785632E9</v>
      </c>
      <c r="B415" s="4">
        <v>42461.0</v>
      </c>
      <c r="C415" s="5">
        <f t="shared" si="1"/>
        <v>42461</v>
      </c>
      <c r="D415" s="3">
        <v>14179.0</v>
      </c>
      <c r="E415" s="3">
        <v>11.2399997711182</v>
      </c>
      <c r="F415" s="3">
        <v>11.2399997711182</v>
      </c>
      <c r="G415" s="3">
        <v>0.0</v>
      </c>
      <c r="H415" s="3">
        <v>6.23000001907349</v>
      </c>
      <c r="I415" s="3">
        <v>1.05999994277954</v>
      </c>
      <c r="J415" s="3">
        <v>3.96000003814697</v>
      </c>
      <c r="K415" s="3">
        <v>0.0</v>
      </c>
      <c r="L415" s="3">
        <v>73.0</v>
      </c>
      <c r="M415" s="3">
        <v>21.0</v>
      </c>
      <c r="N415" s="3">
        <v>195.0</v>
      </c>
      <c r="O415" s="3">
        <v>719.0</v>
      </c>
      <c r="P415" s="3">
        <v>3669.0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3">
        <v>8.3785632E9</v>
      </c>
      <c r="B416" s="4">
        <v>42462.0</v>
      </c>
      <c r="C416" s="5">
        <f t="shared" si="1"/>
        <v>42462</v>
      </c>
      <c r="D416" s="3">
        <v>3358.0</v>
      </c>
      <c r="E416" s="3">
        <v>2.66000008583069</v>
      </c>
      <c r="F416" s="3">
        <v>2.66000008583069</v>
      </c>
      <c r="G416" s="3">
        <v>0.0</v>
      </c>
      <c r="H416" s="3">
        <v>0.0</v>
      </c>
      <c r="I416" s="3">
        <v>0.0</v>
      </c>
      <c r="J416" s="3">
        <v>2.66000008583069</v>
      </c>
      <c r="K416" s="3">
        <v>0.0</v>
      </c>
      <c r="L416" s="3">
        <v>0.0</v>
      </c>
      <c r="M416" s="3">
        <v>0.0</v>
      </c>
      <c r="N416" s="3">
        <v>144.0</v>
      </c>
      <c r="O416" s="3">
        <v>657.0</v>
      </c>
      <c r="P416" s="3">
        <v>2702.0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3">
        <v>8.3785632E9</v>
      </c>
      <c r="B417" s="4">
        <v>42463.0</v>
      </c>
      <c r="C417" s="5">
        <f t="shared" si="1"/>
        <v>42463</v>
      </c>
      <c r="D417" s="3">
        <v>9152.0</v>
      </c>
      <c r="E417" s="3">
        <v>7.26000022888184</v>
      </c>
      <c r="F417" s="3">
        <v>7.26000022888184</v>
      </c>
      <c r="G417" s="3">
        <v>0.0</v>
      </c>
      <c r="H417" s="3">
        <v>1.99000000953674</v>
      </c>
      <c r="I417" s="3">
        <v>0.819999992847443</v>
      </c>
      <c r="J417" s="3">
        <v>4.44999980926514</v>
      </c>
      <c r="K417" s="3">
        <v>0.0</v>
      </c>
      <c r="L417" s="3">
        <v>25.0</v>
      </c>
      <c r="M417" s="3">
        <v>13.0</v>
      </c>
      <c r="N417" s="3">
        <v>243.0</v>
      </c>
      <c r="O417" s="3">
        <v>600.0</v>
      </c>
      <c r="P417" s="3">
        <v>3304.0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3">
        <v>8.3785632E9</v>
      </c>
      <c r="B418" s="4">
        <v>42464.0</v>
      </c>
      <c r="C418" s="5">
        <f t="shared" si="1"/>
        <v>42464</v>
      </c>
      <c r="D418" s="3">
        <v>13935.0</v>
      </c>
      <c r="E418" s="3">
        <v>11.0500001907349</v>
      </c>
      <c r="F418" s="3">
        <v>11.0500001907349</v>
      </c>
      <c r="G418" s="3">
        <v>2.0921471118927</v>
      </c>
      <c r="H418" s="3">
        <v>4.09000015258789</v>
      </c>
      <c r="I418" s="3">
        <v>0.790000021457672</v>
      </c>
      <c r="J418" s="3">
        <v>6.17000007629395</v>
      </c>
      <c r="K418" s="3">
        <v>0.0</v>
      </c>
      <c r="L418" s="3">
        <v>105.0</v>
      </c>
      <c r="M418" s="3">
        <v>16.0</v>
      </c>
      <c r="N418" s="3">
        <v>220.0</v>
      </c>
      <c r="O418" s="3">
        <v>658.0</v>
      </c>
      <c r="P418" s="3">
        <v>4234.0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3">
        <v>8.3785632E9</v>
      </c>
      <c r="B419" s="4">
        <v>42465.0</v>
      </c>
      <c r="C419" s="5">
        <f t="shared" si="1"/>
        <v>42465</v>
      </c>
      <c r="D419" s="3">
        <v>12846.0</v>
      </c>
      <c r="E419" s="3">
        <v>10.1899995803833</v>
      </c>
      <c r="F419" s="3">
        <v>10.1899995803833</v>
      </c>
      <c r="G419" s="3">
        <v>2.25308108329773</v>
      </c>
      <c r="H419" s="3">
        <v>5.0</v>
      </c>
      <c r="I419" s="3">
        <v>0.75</v>
      </c>
      <c r="J419" s="3">
        <v>4.44000005722046</v>
      </c>
      <c r="K419" s="3">
        <v>0.0</v>
      </c>
      <c r="L419" s="3">
        <v>113.0</v>
      </c>
      <c r="M419" s="3">
        <v>15.0</v>
      </c>
      <c r="N419" s="3">
        <v>189.0</v>
      </c>
      <c r="O419" s="3">
        <v>686.0</v>
      </c>
      <c r="P419" s="3">
        <v>4128.0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3">
        <v>8.3785632E9</v>
      </c>
      <c r="B420" s="4">
        <v>42466.0</v>
      </c>
      <c r="C420" s="5">
        <f t="shared" si="1"/>
        <v>42466</v>
      </c>
      <c r="D420" s="3">
        <v>9124.0</v>
      </c>
      <c r="E420" s="3">
        <v>7.23999977111816</v>
      </c>
      <c r="F420" s="3">
        <v>7.23999977111816</v>
      </c>
      <c r="G420" s="3">
        <v>2.0921471118927</v>
      </c>
      <c r="H420" s="3">
        <v>0.0</v>
      </c>
      <c r="I420" s="3">
        <v>0.25</v>
      </c>
      <c r="J420" s="3">
        <v>6.98999977111816</v>
      </c>
      <c r="K420" s="3">
        <v>0.0</v>
      </c>
      <c r="L420" s="3">
        <v>55.0</v>
      </c>
      <c r="M420" s="3">
        <v>6.0</v>
      </c>
      <c r="N420" s="3">
        <v>230.0</v>
      </c>
      <c r="O420" s="3">
        <v>728.0</v>
      </c>
      <c r="P420" s="3">
        <v>3798.0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3">
        <v>8.3785632E9</v>
      </c>
      <c r="B421" s="4">
        <v>42467.0</v>
      </c>
      <c r="C421" s="5">
        <f t="shared" si="1"/>
        <v>42467</v>
      </c>
      <c r="D421" s="3">
        <v>9725.0</v>
      </c>
      <c r="E421" s="3">
        <v>7.71000003814697</v>
      </c>
      <c r="F421" s="3">
        <v>7.71000003814697</v>
      </c>
      <c r="G421" s="3">
        <v>2.25308108329773</v>
      </c>
      <c r="H421" s="3">
        <v>2.41000008583069</v>
      </c>
      <c r="I421" s="3">
        <v>0.529999971389771</v>
      </c>
      <c r="J421" s="3">
        <v>4.76999998092651</v>
      </c>
      <c r="K421" s="3">
        <v>0.0</v>
      </c>
      <c r="L421" s="3">
        <v>83.0</v>
      </c>
      <c r="M421" s="3">
        <v>11.0</v>
      </c>
      <c r="N421" s="3">
        <v>181.0</v>
      </c>
      <c r="O421" s="3">
        <v>670.0</v>
      </c>
      <c r="P421" s="3">
        <v>3839.0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3">
        <v>8.3785632E9</v>
      </c>
      <c r="B422" s="4">
        <v>42468.0</v>
      </c>
      <c r="C422" s="5">
        <f t="shared" si="1"/>
        <v>42468</v>
      </c>
      <c r="D422" s="3">
        <v>8350.0</v>
      </c>
      <c r="E422" s="3">
        <v>6.61999988555908</v>
      </c>
      <c r="F422" s="3">
        <v>6.61999988555908</v>
      </c>
      <c r="G422" s="3">
        <v>2.0921471118927</v>
      </c>
      <c r="H422" s="3">
        <v>1.49000000953674</v>
      </c>
      <c r="I422" s="3">
        <v>0.529999971389771</v>
      </c>
      <c r="J422" s="3">
        <v>4.6100001335144</v>
      </c>
      <c r="K422" s="3">
        <v>0.0</v>
      </c>
      <c r="L422" s="3">
        <v>72.0</v>
      </c>
      <c r="M422" s="3">
        <v>10.0</v>
      </c>
      <c r="N422" s="3">
        <v>167.0</v>
      </c>
      <c r="O422" s="3">
        <v>868.0</v>
      </c>
      <c r="P422" s="3">
        <v>3713.0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3">
        <v>8.3785632E9</v>
      </c>
      <c r="B423" s="4">
        <v>42469.0</v>
      </c>
      <c r="C423" s="5">
        <f t="shared" si="1"/>
        <v>42469</v>
      </c>
      <c r="D423" s="3">
        <v>2240.0</v>
      </c>
      <c r="E423" s="3">
        <v>1.77999997138977</v>
      </c>
      <c r="F423" s="3">
        <v>1.77999997138977</v>
      </c>
      <c r="G423" s="3">
        <v>0.0</v>
      </c>
      <c r="H423" s="3">
        <v>0.0</v>
      </c>
      <c r="I423" s="3">
        <v>0.0</v>
      </c>
      <c r="J423" s="3">
        <v>1.77999997138977</v>
      </c>
      <c r="K423" s="3">
        <v>0.0</v>
      </c>
      <c r="L423" s="3">
        <v>0.0</v>
      </c>
      <c r="M423" s="3">
        <v>0.0</v>
      </c>
      <c r="N423" s="3">
        <v>110.0</v>
      </c>
      <c r="O423" s="3">
        <v>843.0</v>
      </c>
      <c r="P423" s="3">
        <v>2606.0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3">
        <v>8.3785632E9</v>
      </c>
      <c r="B424" s="4">
        <v>42470.0</v>
      </c>
      <c r="C424" s="5">
        <f t="shared" si="1"/>
        <v>42470</v>
      </c>
      <c r="D424" s="3">
        <v>2631.0</v>
      </c>
      <c r="E424" s="3">
        <v>2.08999991416931</v>
      </c>
      <c r="F424" s="3">
        <v>2.08999991416931</v>
      </c>
      <c r="G424" s="3">
        <v>0.0</v>
      </c>
      <c r="H424" s="3">
        <v>0.0</v>
      </c>
      <c r="I424" s="3">
        <v>0.0</v>
      </c>
      <c r="J424" s="3">
        <v>2.08999991416931</v>
      </c>
      <c r="K424" s="3">
        <v>0.0</v>
      </c>
      <c r="L424" s="3">
        <v>0.0</v>
      </c>
      <c r="M424" s="3">
        <v>0.0</v>
      </c>
      <c r="N424" s="3">
        <v>117.0</v>
      </c>
      <c r="O424" s="3">
        <v>727.0</v>
      </c>
      <c r="P424" s="3">
        <v>2624.0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3">
        <v>8.3785632E9</v>
      </c>
      <c r="B425" s="4">
        <v>42471.0</v>
      </c>
      <c r="C425" s="5">
        <f t="shared" si="1"/>
        <v>42471</v>
      </c>
      <c r="D425" s="3">
        <v>8837.0</v>
      </c>
      <c r="E425" s="3">
        <v>7.01000022888184</v>
      </c>
      <c r="F425" s="3">
        <v>7.01000022888184</v>
      </c>
      <c r="G425" s="3">
        <v>2.0921471118927</v>
      </c>
      <c r="H425" s="3">
        <v>1.53999996185303</v>
      </c>
      <c r="I425" s="3">
        <v>0.879999995231628</v>
      </c>
      <c r="J425" s="3">
        <v>4.59000015258789</v>
      </c>
      <c r="K425" s="3">
        <v>0.0</v>
      </c>
      <c r="L425" s="3">
        <v>74.0</v>
      </c>
      <c r="M425" s="3">
        <v>17.0</v>
      </c>
      <c r="N425" s="3">
        <v>182.0</v>
      </c>
      <c r="O425" s="3">
        <v>811.0</v>
      </c>
      <c r="P425" s="3">
        <v>3775.0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3">
        <v>8.3785632E9</v>
      </c>
      <c r="B426" s="4">
        <v>42472.0</v>
      </c>
      <c r="C426" s="5">
        <f t="shared" si="1"/>
        <v>42472</v>
      </c>
      <c r="D426" s="3">
        <v>3246.0</v>
      </c>
      <c r="E426" s="3">
        <v>2.5699999332428</v>
      </c>
      <c r="F426" s="3">
        <v>2.5699999332428</v>
      </c>
      <c r="G426" s="3">
        <v>2.25308108329773</v>
      </c>
      <c r="H426" s="3">
        <v>0.829999983310699</v>
      </c>
      <c r="I426" s="3">
        <v>0.709999978542328</v>
      </c>
      <c r="J426" s="3">
        <v>1.02999997138977</v>
      </c>
      <c r="K426" s="3">
        <v>0.0</v>
      </c>
      <c r="L426" s="3">
        <v>65.0</v>
      </c>
      <c r="M426" s="3">
        <v>15.0</v>
      </c>
      <c r="N426" s="3">
        <v>49.0</v>
      </c>
      <c r="O426" s="3">
        <v>243.0</v>
      </c>
      <c r="P426" s="3">
        <v>1882.0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3">
        <v>8.583815059E9</v>
      </c>
      <c r="B427" s="4">
        <v>42461.0</v>
      </c>
      <c r="C427" s="5">
        <f t="shared" si="1"/>
        <v>42461</v>
      </c>
      <c r="D427" s="3">
        <v>2174.0</v>
      </c>
      <c r="E427" s="3">
        <v>1.70000004768372</v>
      </c>
      <c r="F427" s="3">
        <v>1.70000004768372</v>
      </c>
      <c r="G427" s="3">
        <v>0.0</v>
      </c>
      <c r="H427" s="3">
        <v>0.0</v>
      </c>
      <c r="I427" s="3">
        <v>0.0</v>
      </c>
      <c r="J427" s="3">
        <v>1.70000004768372</v>
      </c>
      <c r="K427" s="3">
        <v>0.0</v>
      </c>
      <c r="L427" s="3">
        <v>0.0</v>
      </c>
      <c r="M427" s="3">
        <v>0.0</v>
      </c>
      <c r="N427" s="3">
        <v>112.0</v>
      </c>
      <c r="O427" s="3">
        <v>1328.0</v>
      </c>
      <c r="P427" s="3">
        <v>2360.0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3">
        <v>8.583815059E9</v>
      </c>
      <c r="B428" s="4">
        <v>42462.0</v>
      </c>
      <c r="C428" s="5">
        <f t="shared" si="1"/>
        <v>42462</v>
      </c>
      <c r="D428" s="3">
        <v>3494.0</v>
      </c>
      <c r="E428" s="3">
        <v>2.73000001907349</v>
      </c>
      <c r="F428" s="3">
        <v>2.73000001907349</v>
      </c>
      <c r="G428" s="3">
        <v>0.0</v>
      </c>
      <c r="H428" s="3">
        <v>0.0</v>
      </c>
      <c r="I428" s="3">
        <v>0.0</v>
      </c>
      <c r="J428" s="3">
        <v>2.69000005722046</v>
      </c>
      <c r="K428" s="3">
        <v>0.0</v>
      </c>
      <c r="L428" s="3">
        <v>0.0</v>
      </c>
      <c r="M428" s="3">
        <v>0.0</v>
      </c>
      <c r="N428" s="3">
        <v>166.0</v>
      </c>
      <c r="O428" s="3">
        <v>1274.0</v>
      </c>
      <c r="P428" s="3">
        <v>2517.0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3">
        <v>8.583815059E9</v>
      </c>
      <c r="B429" s="4">
        <v>42463.0</v>
      </c>
      <c r="C429" s="5">
        <f t="shared" si="1"/>
        <v>42463</v>
      </c>
      <c r="D429" s="3">
        <v>2380.0</v>
      </c>
      <c r="E429" s="3">
        <v>1.86000001430511</v>
      </c>
      <c r="F429" s="3">
        <v>1.86000001430511</v>
      </c>
      <c r="G429" s="3">
        <v>0.0</v>
      </c>
      <c r="H429" s="3">
        <v>0.0</v>
      </c>
      <c r="I429" s="3">
        <v>0.0</v>
      </c>
      <c r="J429" s="3">
        <v>1.86000001430511</v>
      </c>
      <c r="K429" s="3">
        <v>0.0</v>
      </c>
      <c r="L429" s="3">
        <v>0.0</v>
      </c>
      <c r="M429" s="3">
        <v>0.0</v>
      </c>
      <c r="N429" s="3">
        <v>131.0</v>
      </c>
      <c r="O429" s="3">
        <v>1309.0</v>
      </c>
      <c r="P429" s="3">
        <v>2400.0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3">
        <v>8.583815059E9</v>
      </c>
      <c r="B430" s="4">
        <v>42464.0</v>
      </c>
      <c r="C430" s="5">
        <f t="shared" si="1"/>
        <v>42464</v>
      </c>
      <c r="D430" s="3">
        <v>3159.0</v>
      </c>
      <c r="E430" s="3">
        <v>2.46000003814697</v>
      </c>
      <c r="F430" s="3">
        <v>2.46000003814697</v>
      </c>
      <c r="G430" s="3">
        <v>0.0</v>
      </c>
      <c r="H430" s="3">
        <v>0.0</v>
      </c>
      <c r="I430" s="3">
        <v>0.0</v>
      </c>
      <c r="J430" s="3">
        <v>2.46000003814697</v>
      </c>
      <c r="K430" s="3">
        <v>0.0</v>
      </c>
      <c r="L430" s="3">
        <v>0.0</v>
      </c>
      <c r="M430" s="3">
        <v>0.0</v>
      </c>
      <c r="N430" s="3">
        <v>147.0</v>
      </c>
      <c r="O430" s="3">
        <v>1293.0</v>
      </c>
      <c r="P430" s="3">
        <v>2462.0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3">
        <v>8.583815059E9</v>
      </c>
      <c r="B431" s="4">
        <v>42465.0</v>
      </c>
      <c r="C431" s="5">
        <f t="shared" si="1"/>
        <v>42465</v>
      </c>
      <c r="D431" s="3">
        <v>6835.0</v>
      </c>
      <c r="E431" s="3">
        <v>5.32999992370605</v>
      </c>
      <c r="F431" s="3">
        <v>5.32999992370605</v>
      </c>
      <c r="G431" s="3">
        <v>0.0</v>
      </c>
      <c r="H431" s="3">
        <v>0.370000004768372</v>
      </c>
      <c r="I431" s="3">
        <v>0.730000019073486</v>
      </c>
      <c r="J431" s="3">
        <v>4.23999977111816</v>
      </c>
      <c r="K431" s="3">
        <v>0.0</v>
      </c>
      <c r="L431" s="3">
        <v>5.0</v>
      </c>
      <c r="M431" s="3">
        <v>15.0</v>
      </c>
      <c r="N431" s="3">
        <v>212.0</v>
      </c>
      <c r="O431" s="3">
        <v>1208.0</v>
      </c>
      <c r="P431" s="3">
        <v>2786.0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3">
        <v>8.583815059E9</v>
      </c>
      <c r="B432" s="4">
        <v>42466.0</v>
      </c>
      <c r="C432" s="5">
        <f t="shared" si="1"/>
        <v>42466</v>
      </c>
      <c r="D432" s="3">
        <v>2098.0</v>
      </c>
      <c r="E432" s="3">
        <v>1.63999998569489</v>
      </c>
      <c r="F432" s="3">
        <v>1.63999998569489</v>
      </c>
      <c r="G432" s="3">
        <v>0.0</v>
      </c>
      <c r="H432" s="3">
        <v>0.0</v>
      </c>
      <c r="I432" s="3">
        <v>0.0</v>
      </c>
      <c r="J432" s="3">
        <v>1.62999999523163</v>
      </c>
      <c r="K432" s="3">
        <v>0.0</v>
      </c>
      <c r="L432" s="3">
        <v>0.0</v>
      </c>
      <c r="M432" s="3">
        <v>0.0</v>
      </c>
      <c r="N432" s="3">
        <v>112.0</v>
      </c>
      <c r="O432" s="3">
        <v>1328.0</v>
      </c>
      <c r="P432" s="3">
        <v>2354.0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3">
        <v>8.583815059E9</v>
      </c>
      <c r="B433" s="4">
        <v>42467.0</v>
      </c>
      <c r="C433" s="5">
        <f t="shared" si="1"/>
        <v>42467</v>
      </c>
      <c r="D433" s="3">
        <v>2816.0</v>
      </c>
      <c r="E433" s="3">
        <v>2.20000004768372</v>
      </c>
      <c r="F433" s="3">
        <v>2.20000004768372</v>
      </c>
      <c r="G433" s="3">
        <v>0.0</v>
      </c>
      <c r="H433" s="3">
        <v>0.0</v>
      </c>
      <c r="I433" s="3">
        <v>0.0</v>
      </c>
      <c r="J433" s="3">
        <v>2.20000004768372</v>
      </c>
      <c r="K433" s="3">
        <v>0.0</v>
      </c>
      <c r="L433" s="3">
        <v>0.0</v>
      </c>
      <c r="M433" s="3">
        <v>0.0</v>
      </c>
      <c r="N433" s="3">
        <v>138.0</v>
      </c>
      <c r="O433" s="3">
        <v>1302.0</v>
      </c>
      <c r="P433" s="3">
        <v>2437.0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3">
        <v>8.583815059E9</v>
      </c>
      <c r="B434" s="4">
        <v>42468.0</v>
      </c>
      <c r="C434" s="5">
        <f t="shared" si="1"/>
        <v>42468</v>
      </c>
      <c r="D434" s="3">
        <v>1408.0</v>
      </c>
      <c r="E434" s="3">
        <v>1.10000002384186</v>
      </c>
      <c r="F434" s="3">
        <v>1.10000002384186</v>
      </c>
      <c r="G434" s="3">
        <v>0.0</v>
      </c>
      <c r="H434" s="3">
        <v>0.0</v>
      </c>
      <c r="I434" s="3">
        <v>0.0</v>
      </c>
      <c r="J434" s="3">
        <v>1.10000002384186</v>
      </c>
      <c r="K434" s="3">
        <v>0.0</v>
      </c>
      <c r="L434" s="3">
        <v>0.0</v>
      </c>
      <c r="M434" s="3">
        <v>0.0</v>
      </c>
      <c r="N434" s="3">
        <v>79.0</v>
      </c>
      <c r="O434" s="3">
        <v>1052.0</v>
      </c>
      <c r="P434" s="3">
        <v>1814.0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3">
        <v>8.792009665E9</v>
      </c>
      <c r="B435" s="4">
        <v>42461.0</v>
      </c>
      <c r="C435" s="5">
        <f t="shared" si="1"/>
        <v>42461</v>
      </c>
      <c r="D435" s="3">
        <v>4592.0</v>
      </c>
      <c r="E435" s="3">
        <v>2.94000005722046</v>
      </c>
      <c r="F435" s="3">
        <v>2.94000005722046</v>
      </c>
      <c r="G435" s="3">
        <v>0.0</v>
      </c>
      <c r="H435" s="3">
        <v>0.100000001490116</v>
      </c>
      <c r="I435" s="3">
        <v>0.140000000596046</v>
      </c>
      <c r="J435" s="3">
        <v>2.70000004768372</v>
      </c>
      <c r="K435" s="3">
        <v>0.0</v>
      </c>
      <c r="L435" s="3">
        <v>4.0</v>
      </c>
      <c r="M435" s="3">
        <v>8.0</v>
      </c>
      <c r="N435" s="3">
        <v>176.0</v>
      </c>
      <c r="O435" s="3">
        <v>748.0</v>
      </c>
      <c r="P435" s="3">
        <v>2260.0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3">
        <v>8.792009665E9</v>
      </c>
      <c r="B436" s="4">
        <v>42462.0</v>
      </c>
      <c r="C436" s="5">
        <f t="shared" si="1"/>
        <v>42462</v>
      </c>
      <c r="D436" s="3">
        <v>8452.0</v>
      </c>
      <c r="E436" s="3">
        <v>5.40999984741211</v>
      </c>
      <c r="F436" s="3">
        <v>5.40999984741211</v>
      </c>
      <c r="G436" s="3">
        <v>0.0</v>
      </c>
      <c r="H436" s="3">
        <v>0.259999990463257</v>
      </c>
      <c r="I436" s="3">
        <v>0.389999985694885</v>
      </c>
      <c r="J436" s="3">
        <v>4.76000022888184</v>
      </c>
      <c r="K436" s="3">
        <v>0.0</v>
      </c>
      <c r="L436" s="3">
        <v>9.0</v>
      </c>
      <c r="M436" s="3">
        <v>24.0</v>
      </c>
      <c r="N436" s="3">
        <v>328.0</v>
      </c>
      <c r="O436" s="3">
        <v>1079.0</v>
      </c>
      <c r="P436" s="3">
        <v>3004.0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3">
        <v>8.792009665E9</v>
      </c>
      <c r="B437" s="4">
        <v>42463.0</v>
      </c>
      <c r="C437" s="5">
        <f t="shared" si="1"/>
        <v>42463</v>
      </c>
      <c r="D437" s="3">
        <v>7238.0</v>
      </c>
      <c r="E437" s="3">
        <v>4.63000011444092</v>
      </c>
      <c r="F437" s="3">
        <v>4.63000011444092</v>
      </c>
      <c r="G437" s="3">
        <v>0.0</v>
      </c>
      <c r="H437" s="3">
        <v>0.109999999403954</v>
      </c>
      <c r="I437" s="3">
        <v>0.230000004172325</v>
      </c>
      <c r="J437" s="3">
        <v>4.28999996185303</v>
      </c>
      <c r="K437" s="3">
        <v>0.0</v>
      </c>
      <c r="L437" s="3">
        <v>2.0</v>
      </c>
      <c r="M437" s="3">
        <v>6.0</v>
      </c>
      <c r="N437" s="3">
        <v>279.0</v>
      </c>
      <c r="O437" s="3">
        <v>636.0</v>
      </c>
      <c r="P437" s="3">
        <v>2667.0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3">
        <v>8.792009665E9</v>
      </c>
      <c r="B438" s="4">
        <v>42464.0</v>
      </c>
      <c r="C438" s="5">
        <f t="shared" si="1"/>
        <v>42464</v>
      </c>
      <c r="D438" s="3">
        <v>3821.0</v>
      </c>
      <c r="E438" s="3">
        <v>2.45000004768372</v>
      </c>
      <c r="F438" s="3">
        <v>2.45000004768372</v>
      </c>
      <c r="G438" s="3">
        <v>0.0</v>
      </c>
      <c r="H438" s="3">
        <v>0.0</v>
      </c>
      <c r="I438" s="3">
        <v>0.219999998807907</v>
      </c>
      <c r="J438" s="3">
        <v>2.23000001907349</v>
      </c>
      <c r="K438" s="3">
        <v>0.0</v>
      </c>
      <c r="L438" s="3">
        <v>0.0</v>
      </c>
      <c r="M438" s="3">
        <v>9.0</v>
      </c>
      <c r="N438" s="3">
        <v>161.0</v>
      </c>
      <c r="O438" s="3">
        <v>675.0</v>
      </c>
      <c r="P438" s="3">
        <v>2229.0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3">
        <v>8.792009665E9</v>
      </c>
      <c r="B439" s="4">
        <v>42465.0</v>
      </c>
      <c r="C439" s="5">
        <f t="shared" si="1"/>
        <v>42465</v>
      </c>
      <c r="D439" s="3">
        <v>2332.0</v>
      </c>
      <c r="E439" s="3">
        <v>1.49000000953674</v>
      </c>
      <c r="F439" s="3">
        <v>1.49000000953674</v>
      </c>
      <c r="G439" s="3">
        <v>0.0</v>
      </c>
      <c r="H439" s="3">
        <v>0.00999999977648258</v>
      </c>
      <c r="I439" s="3">
        <v>0.180000007152557</v>
      </c>
      <c r="J439" s="3">
        <v>1.29999995231628</v>
      </c>
      <c r="K439" s="3">
        <v>0.0</v>
      </c>
      <c r="L439" s="3">
        <v>1.0</v>
      </c>
      <c r="M439" s="3">
        <v>10.0</v>
      </c>
      <c r="N439" s="3">
        <v>111.0</v>
      </c>
      <c r="O439" s="3">
        <v>904.0</v>
      </c>
      <c r="P439" s="3">
        <v>2100.0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3">
        <v>8.792009665E9</v>
      </c>
      <c r="B440" s="4">
        <v>42466.0</v>
      </c>
      <c r="C440" s="5">
        <f t="shared" si="1"/>
        <v>42466</v>
      </c>
      <c r="D440" s="3">
        <v>2121.0</v>
      </c>
      <c r="E440" s="3">
        <v>1.36000001430511</v>
      </c>
      <c r="F440" s="3">
        <v>1.36000001430511</v>
      </c>
      <c r="G440" s="3">
        <v>0.0</v>
      </c>
      <c r="H440" s="3">
        <v>0.0</v>
      </c>
      <c r="I440" s="3">
        <v>0.0</v>
      </c>
      <c r="J440" s="3">
        <v>1.36000001430511</v>
      </c>
      <c r="K440" s="3">
        <v>0.0</v>
      </c>
      <c r="L440" s="3">
        <v>0.0</v>
      </c>
      <c r="M440" s="3">
        <v>0.0</v>
      </c>
      <c r="N440" s="3">
        <v>122.0</v>
      </c>
      <c r="O440" s="3">
        <v>855.0</v>
      </c>
      <c r="P440" s="3">
        <v>2114.0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3">
        <v>8.792009665E9</v>
      </c>
      <c r="B441" s="4">
        <v>42467.0</v>
      </c>
      <c r="C441" s="5">
        <f t="shared" si="1"/>
        <v>42467</v>
      </c>
      <c r="D441" s="3">
        <v>1291.0</v>
      </c>
      <c r="E441" s="3">
        <v>0.829999983310699</v>
      </c>
      <c r="F441" s="3">
        <v>0.829999983310699</v>
      </c>
      <c r="G441" s="3">
        <v>0.0</v>
      </c>
      <c r="H441" s="3">
        <v>0.0</v>
      </c>
      <c r="I441" s="3">
        <v>0.0</v>
      </c>
      <c r="J441" s="3">
        <v>0.829999983310699</v>
      </c>
      <c r="K441" s="3">
        <v>0.0</v>
      </c>
      <c r="L441" s="3">
        <v>0.0</v>
      </c>
      <c r="M441" s="3">
        <v>0.0</v>
      </c>
      <c r="N441" s="3">
        <v>77.0</v>
      </c>
      <c r="O441" s="3">
        <v>888.0</v>
      </c>
      <c r="P441" s="3">
        <v>1961.0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3">
        <v>8.792009665E9</v>
      </c>
      <c r="B442" s="4">
        <v>42468.0</v>
      </c>
      <c r="C442" s="5">
        <f t="shared" si="1"/>
        <v>42468</v>
      </c>
      <c r="D442" s="3">
        <v>1467.0</v>
      </c>
      <c r="E442" s="3">
        <v>0.939999997615814</v>
      </c>
      <c r="F442" s="3">
        <v>0.939999997615814</v>
      </c>
      <c r="G442" s="3">
        <v>0.0</v>
      </c>
      <c r="H442" s="3">
        <v>0.100000001490116</v>
      </c>
      <c r="I442" s="3">
        <v>0.209999993443489</v>
      </c>
      <c r="J442" s="3">
        <v>0.629999995231628</v>
      </c>
      <c r="K442" s="3">
        <v>0.0</v>
      </c>
      <c r="L442" s="3">
        <v>2.0</v>
      </c>
      <c r="M442" s="3">
        <v>8.0</v>
      </c>
      <c r="N442" s="3">
        <v>71.0</v>
      </c>
      <c r="O442" s="3">
        <v>912.0</v>
      </c>
      <c r="P442" s="3">
        <v>1953.0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3">
        <v>8.792009665E9</v>
      </c>
      <c r="B443" s="4">
        <v>42469.0</v>
      </c>
      <c r="C443" s="5">
        <f t="shared" si="1"/>
        <v>42469</v>
      </c>
      <c r="D443" s="3">
        <v>1022.0</v>
      </c>
      <c r="E443" s="3">
        <v>0.649999976158142</v>
      </c>
      <c r="F443" s="3">
        <v>0.649999976158142</v>
      </c>
      <c r="G443" s="3">
        <v>0.0</v>
      </c>
      <c r="H443" s="3">
        <v>0.0</v>
      </c>
      <c r="I443" s="3">
        <v>0.0</v>
      </c>
      <c r="J443" s="3">
        <v>0.649999976158142</v>
      </c>
      <c r="K443" s="3">
        <v>0.0</v>
      </c>
      <c r="L443" s="3">
        <v>0.0</v>
      </c>
      <c r="M443" s="3">
        <v>0.0</v>
      </c>
      <c r="N443" s="3">
        <v>63.0</v>
      </c>
      <c r="O443" s="3">
        <v>739.0</v>
      </c>
      <c r="P443" s="3">
        <v>1890.0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3">
        <v>8.792009665E9</v>
      </c>
      <c r="B444" s="4">
        <v>42470.0</v>
      </c>
      <c r="C444" s="5">
        <f t="shared" si="1"/>
        <v>42470</v>
      </c>
      <c r="D444" s="3">
        <v>4605.0</v>
      </c>
      <c r="E444" s="3">
        <v>2.95000004768372</v>
      </c>
      <c r="F444" s="3">
        <v>2.95000004768372</v>
      </c>
      <c r="G444" s="3">
        <v>0.0</v>
      </c>
      <c r="H444" s="3">
        <v>0.0</v>
      </c>
      <c r="I444" s="3">
        <v>0.0</v>
      </c>
      <c r="J444" s="3">
        <v>2.95000004768372</v>
      </c>
      <c r="K444" s="3">
        <v>0.0</v>
      </c>
      <c r="L444" s="3">
        <v>0.0</v>
      </c>
      <c r="M444" s="3">
        <v>0.0</v>
      </c>
      <c r="N444" s="3">
        <v>179.0</v>
      </c>
      <c r="O444" s="3">
        <v>1261.0</v>
      </c>
      <c r="P444" s="3">
        <v>2253.0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3">
        <v>8.792009665E9</v>
      </c>
      <c r="B445" s="4">
        <v>42471.0</v>
      </c>
      <c r="C445" s="5">
        <f t="shared" si="1"/>
        <v>42471</v>
      </c>
      <c r="D445" s="3">
        <v>178.0</v>
      </c>
      <c r="E445" s="3">
        <v>0.109999999403954</v>
      </c>
      <c r="F445" s="3">
        <v>0.109999999403954</v>
      </c>
      <c r="G445" s="3">
        <v>0.0</v>
      </c>
      <c r="H445" s="3">
        <v>0.0</v>
      </c>
      <c r="I445" s="3">
        <v>0.0</v>
      </c>
      <c r="J445" s="3">
        <v>0.109999999403954</v>
      </c>
      <c r="K445" s="3">
        <v>0.0</v>
      </c>
      <c r="L445" s="3">
        <v>0.0</v>
      </c>
      <c r="M445" s="3">
        <v>0.0</v>
      </c>
      <c r="N445" s="3">
        <v>12.0</v>
      </c>
      <c r="O445" s="3">
        <v>1428.0</v>
      </c>
      <c r="P445" s="3">
        <v>1725.0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3">
        <v>8.792009665E9</v>
      </c>
      <c r="B446" s="4">
        <v>42472.0</v>
      </c>
      <c r="C446" s="5">
        <f t="shared" si="1"/>
        <v>42472</v>
      </c>
      <c r="D446" s="3">
        <v>20.0</v>
      </c>
      <c r="E446" s="3">
        <v>0.00999999977648258</v>
      </c>
      <c r="F446" s="3">
        <v>0.00999999977648258</v>
      </c>
      <c r="G446" s="3">
        <v>0.0</v>
      </c>
      <c r="H446" s="3">
        <v>0.0</v>
      </c>
      <c r="I446" s="3">
        <v>0.0</v>
      </c>
      <c r="J446" s="3">
        <v>0.00999999977648258</v>
      </c>
      <c r="K446" s="3">
        <v>0.0</v>
      </c>
      <c r="L446" s="3">
        <v>0.0</v>
      </c>
      <c r="M446" s="3">
        <v>0.0</v>
      </c>
      <c r="N446" s="3">
        <v>6.0</v>
      </c>
      <c r="O446" s="3">
        <v>598.0</v>
      </c>
      <c r="P446" s="3">
        <v>728.0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3">
        <v>8.877689391E9</v>
      </c>
      <c r="B447" s="4">
        <v>42461.0</v>
      </c>
      <c r="C447" s="5">
        <f t="shared" si="1"/>
        <v>42461</v>
      </c>
      <c r="D447" s="3">
        <v>18700.0</v>
      </c>
      <c r="E447" s="3">
        <v>15.8199996948242</v>
      </c>
      <c r="F447" s="3">
        <v>15.8199996948242</v>
      </c>
      <c r="G447" s="3">
        <v>0.0</v>
      </c>
      <c r="H447" s="3">
        <v>8.69999980926514</v>
      </c>
      <c r="I447" s="3">
        <v>0.159999996423721</v>
      </c>
      <c r="J447" s="3">
        <v>6.90999984741211</v>
      </c>
      <c r="K447" s="3">
        <v>0.0</v>
      </c>
      <c r="L447" s="3">
        <v>67.0</v>
      </c>
      <c r="M447" s="3">
        <v>3.0</v>
      </c>
      <c r="N447" s="3">
        <v>247.0</v>
      </c>
      <c r="O447" s="3">
        <v>1123.0</v>
      </c>
      <c r="P447" s="3">
        <v>3527.0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3">
        <v>8.877689391E9</v>
      </c>
      <c r="B448" s="4">
        <v>42462.0</v>
      </c>
      <c r="C448" s="5">
        <f t="shared" si="1"/>
        <v>42462</v>
      </c>
      <c r="D448" s="3">
        <v>27572.0</v>
      </c>
      <c r="E448" s="3">
        <v>23.3899993896484</v>
      </c>
      <c r="F448" s="3">
        <v>23.3899993896484</v>
      </c>
      <c r="G448" s="3">
        <v>0.0</v>
      </c>
      <c r="H448" s="3">
        <v>14.7200002670288</v>
      </c>
      <c r="I448" s="3">
        <v>1.21000003814697</v>
      </c>
      <c r="J448" s="3">
        <v>7.34000015258789</v>
      </c>
      <c r="K448" s="3">
        <v>0.00999999977648258</v>
      </c>
      <c r="L448" s="3">
        <v>116.0</v>
      </c>
      <c r="M448" s="3">
        <v>24.0</v>
      </c>
      <c r="N448" s="3">
        <v>260.0</v>
      </c>
      <c r="O448" s="3">
        <v>1040.0</v>
      </c>
      <c r="P448" s="3">
        <v>4220.0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3">
        <v>8.877689391E9</v>
      </c>
      <c r="B449" s="4">
        <v>42463.0</v>
      </c>
      <c r="C449" s="5">
        <f t="shared" si="1"/>
        <v>42463</v>
      </c>
      <c r="D449" s="3">
        <v>15260.0</v>
      </c>
      <c r="E449" s="3">
        <v>8.1899995803833</v>
      </c>
      <c r="F449" s="3">
        <v>8.1899995803833</v>
      </c>
      <c r="G449" s="3">
        <v>0.0</v>
      </c>
      <c r="H449" s="3">
        <v>1.79999995231628</v>
      </c>
      <c r="I449" s="3">
        <v>0.75</v>
      </c>
      <c r="J449" s="3">
        <v>5.57000017166138</v>
      </c>
      <c r="K449" s="3">
        <v>0.0</v>
      </c>
      <c r="L449" s="3">
        <v>106.0</v>
      </c>
      <c r="M449" s="3">
        <v>17.0</v>
      </c>
      <c r="N449" s="3">
        <v>259.0</v>
      </c>
      <c r="O449" s="3">
        <v>1058.0</v>
      </c>
      <c r="P449" s="3">
        <v>3864.0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3">
        <v>8.877689391E9</v>
      </c>
      <c r="B450" s="4">
        <v>42464.0</v>
      </c>
      <c r="C450" s="5">
        <f t="shared" si="1"/>
        <v>42464</v>
      </c>
      <c r="D450" s="3">
        <v>20779.0</v>
      </c>
      <c r="E450" s="3">
        <v>18.4099998474121</v>
      </c>
      <c r="F450" s="3">
        <v>18.4099998474121</v>
      </c>
      <c r="G450" s="3">
        <v>0.0</v>
      </c>
      <c r="H450" s="3">
        <v>11.7299995422363</v>
      </c>
      <c r="I450" s="3">
        <v>0.649999976158142</v>
      </c>
      <c r="J450" s="3">
        <v>6.0</v>
      </c>
      <c r="K450" s="3">
        <v>0.0</v>
      </c>
      <c r="L450" s="3">
        <v>78.0</v>
      </c>
      <c r="M450" s="3">
        <v>16.0</v>
      </c>
      <c r="N450" s="3">
        <v>208.0</v>
      </c>
      <c r="O450" s="3">
        <v>1138.0</v>
      </c>
      <c r="P450" s="3">
        <v>3662.0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3">
        <v>8.877689391E9</v>
      </c>
      <c r="B451" s="4">
        <v>42465.0</v>
      </c>
      <c r="C451" s="5">
        <f t="shared" si="1"/>
        <v>42465</v>
      </c>
      <c r="D451" s="3">
        <v>10695.0</v>
      </c>
      <c r="E451" s="3">
        <v>8.11999988555908</v>
      </c>
      <c r="F451" s="3">
        <v>8.11999988555908</v>
      </c>
      <c r="G451" s="3">
        <v>0.0</v>
      </c>
      <c r="H451" s="3">
        <v>0.769999980926514</v>
      </c>
      <c r="I451" s="3">
        <v>0.180000007152557</v>
      </c>
      <c r="J451" s="3">
        <v>7.09000015258789</v>
      </c>
      <c r="K451" s="3">
        <v>0.00999999977648258</v>
      </c>
      <c r="L451" s="3">
        <v>10.0</v>
      </c>
      <c r="M451" s="3">
        <v>3.0</v>
      </c>
      <c r="N451" s="3">
        <v>246.0</v>
      </c>
      <c r="O451" s="3">
        <v>1181.0</v>
      </c>
      <c r="P451" s="3">
        <v>2834.0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3">
        <v>8.877689391E9</v>
      </c>
      <c r="B452" s="4">
        <v>42466.0</v>
      </c>
      <c r="C452" s="5">
        <f t="shared" si="1"/>
        <v>42466</v>
      </c>
      <c r="D452" s="3">
        <v>24136.0</v>
      </c>
      <c r="E452" s="3">
        <v>20.9099998474121</v>
      </c>
      <c r="F452" s="3">
        <v>20.9099998474121</v>
      </c>
      <c r="G452" s="3">
        <v>0.0</v>
      </c>
      <c r="H452" s="3">
        <v>12.2200002670288</v>
      </c>
      <c r="I452" s="3">
        <v>0.540000021457672</v>
      </c>
      <c r="J452" s="3">
        <v>8.07999992370605</v>
      </c>
      <c r="K452" s="3">
        <v>0.0</v>
      </c>
      <c r="L452" s="3">
        <v>87.0</v>
      </c>
      <c r="M452" s="3">
        <v>16.0</v>
      </c>
      <c r="N452" s="3">
        <v>318.0</v>
      </c>
      <c r="O452" s="3">
        <v>1019.0</v>
      </c>
      <c r="P452" s="3">
        <v>4039.0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3">
        <v>8.877689391E9</v>
      </c>
      <c r="B453" s="4">
        <v>42467.0</v>
      </c>
      <c r="C453" s="5">
        <f t="shared" si="1"/>
        <v>42467</v>
      </c>
      <c r="D453" s="3">
        <v>10910.0</v>
      </c>
      <c r="E453" s="3">
        <v>8.42000007629395</v>
      </c>
      <c r="F453" s="3">
        <v>8.42000007629395</v>
      </c>
      <c r="G453" s="3">
        <v>0.0</v>
      </c>
      <c r="H453" s="3">
        <v>2.96000003814697</v>
      </c>
      <c r="I453" s="3">
        <v>0.389999985694885</v>
      </c>
      <c r="J453" s="3">
        <v>5.03000020980835</v>
      </c>
      <c r="K453" s="3">
        <v>0.0</v>
      </c>
      <c r="L453" s="3">
        <v>32.0</v>
      </c>
      <c r="M453" s="3">
        <v>11.0</v>
      </c>
      <c r="N453" s="3">
        <v>212.0</v>
      </c>
      <c r="O453" s="3">
        <v>1185.0</v>
      </c>
      <c r="P453" s="3">
        <v>2947.0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3">
        <v>8.877689391E9</v>
      </c>
      <c r="B454" s="4">
        <v>42468.0</v>
      </c>
      <c r="C454" s="5">
        <f t="shared" si="1"/>
        <v>42468</v>
      </c>
      <c r="D454" s="3">
        <v>23014.0</v>
      </c>
      <c r="E454" s="3">
        <v>20.3899993896484</v>
      </c>
      <c r="F454" s="3">
        <v>20.3899993896484</v>
      </c>
      <c r="G454" s="3">
        <v>0.0</v>
      </c>
      <c r="H454" s="3">
        <v>11.1000003814697</v>
      </c>
      <c r="I454" s="3">
        <v>0.629999995231628</v>
      </c>
      <c r="J454" s="3">
        <v>8.61999988555908</v>
      </c>
      <c r="K454" s="3">
        <v>0.0</v>
      </c>
      <c r="L454" s="3">
        <v>70.0</v>
      </c>
      <c r="M454" s="3">
        <v>29.0</v>
      </c>
      <c r="N454" s="3">
        <v>359.0</v>
      </c>
      <c r="O454" s="3">
        <v>982.0</v>
      </c>
      <c r="P454" s="3">
        <v>4196.0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3">
        <v>8.877689391E9</v>
      </c>
      <c r="B455" s="4">
        <v>42469.0</v>
      </c>
      <c r="C455" s="5">
        <f t="shared" si="1"/>
        <v>42469</v>
      </c>
      <c r="D455" s="3">
        <v>16470.0</v>
      </c>
      <c r="E455" s="3">
        <v>8.06999969482422</v>
      </c>
      <c r="F455" s="3">
        <v>8.06999969482422</v>
      </c>
      <c r="G455" s="3">
        <v>0.0</v>
      </c>
      <c r="H455" s="3">
        <v>0.0</v>
      </c>
      <c r="I455" s="3">
        <v>0.0199999995529652</v>
      </c>
      <c r="J455" s="3">
        <v>8.02000045776367</v>
      </c>
      <c r="K455" s="3">
        <v>0.0</v>
      </c>
      <c r="L455" s="3">
        <v>90.0</v>
      </c>
      <c r="M455" s="3">
        <v>9.0</v>
      </c>
      <c r="N455" s="3">
        <v>289.0</v>
      </c>
      <c r="O455" s="3">
        <v>1052.0</v>
      </c>
      <c r="P455" s="3">
        <v>3841.0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3">
        <v>8.877689391E9</v>
      </c>
      <c r="B456" s="4">
        <v>42470.0</v>
      </c>
      <c r="C456" s="5">
        <f t="shared" si="1"/>
        <v>42470</v>
      </c>
      <c r="D456" s="3">
        <v>28497.0</v>
      </c>
      <c r="E456" s="3">
        <v>27.5300006866455</v>
      </c>
      <c r="F456" s="3">
        <v>27.5300006866455</v>
      </c>
      <c r="G456" s="3">
        <v>0.0</v>
      </c>
      <c r="H456" s="3">
        <v>21.9200000762939</v>
      </c>
      <c r="I456" s="3">
        <v>1.12000000476837</v>
      </c>
      <c r="J456" s="3">
        <v>4.46000003814697</v>
      </c>
      <c r="K456" s="3">
        <v>0.0</v>
      </c>
      <c r="L456" s="3">
        <v>128.0</v>
      </c>
      <c r="M456" s="3">
        <v>46.0</v>
      </c>
      <c r="N456" s="3">
        <v>211.0</v>
      </c>
      <c r="O456" s="3">
        <v>1055.0</v>
      </c>
      <c r="P456" s="3">
        <v>4526.0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3">
        <v>8.877689391E9</v>
      </c>
      <c r="B457" s="4">
        <v>42471.0</v>
      </c>
      <c r="C457" s="5">
        <f t="shared" si="1"/>
        <v>42471</v>
      </c>
      <c r="D457" s="3">
        <v>10622.0</v>
      </c>
      <c r="E457" s="3">
        <v>8.0600004196167</v>
      </c>
      <c r="F457" s="3">
        <v>8.0600004196167</v>
      </c>
      <c r="G457" s="3">
        <v>0.0</v>
      </c>
      <c r="H457" s="3">
        <v>1.47000002861023</v>
      </c>
      <c r="I457" s="3">
        <v>0.150000005960464</v>
      </c>
      <c r="J457" s="3">
        <v>6.36999988555908</v>
      </c>
      <c r="K457" s="3">
        <v>0.00999999977648258</v>
      </c>
      <c r="L457" s="3">
        <v>18.0</v>
      </c>
      <c r="M457" s="3">
        <v>7.0</v>
      </c>
      <c r="N457" s="3">
        <v>225.0</v>
      </c>
      <c r="O457" s="3">
        <v>1190.0</v>
      </c>
      <c r="P457" s="3">
        <v>2820.0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3">
        <v>8.877689391E9</v>
      </c>
      <c r="B458" s="4">
        <v>42472.0</v>
      </c>
      <c r="C458" s="5">
        <f t="shared" si="1"/>
        <v>42472</v>
      </c>
      <c r="D458" s="3">
        <v>2350.0</v>
      </c>
      <c r="E458" s="3">
        <v>1.77999997138977</v>
      </c>
      <c r="F458" s="3">
        <v>1.77999997138977</v>
      </c>
      <c r="G458" s="3">
        <v>0.0</v>
      </c>
      <c r="H458" s="3">
        <v>0.0</v>
      </c>
      <c r="I458" s="3">
        <v>0.0</v>
      </c>
      <c r="J458" s="3">
        <v>1.77999997138977</v>
      </c>
      <c r="K458" s="3">
        <v>0.0</v>
      </c>
      <c r="L458" s="3">
        <v>0.0</v>
      </c>
      <c r="M458" s="3">
        <v>0.0</v>
      </c>
      <c r="N458" s="3">
        <v>58.0</v>
      </c>
      <c r="O458" s="3">
        <v>531.0</v>
      </c>
      <c r="P458" s="3">
        <v>938.0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3" max="4" width="18.5"/>
    <col customWidth="1" min="5" max="5" width="19.13"/>
    <col customWidth="1" min="6" max="6" width="15.88"/>
    <col customWidth="1" min="7" max="7" width="19.63"/>
  </cols>
  <sheetData>
    <row r="1">
      <c r="A1" s="6" t="s">
        <v>0</v>
      </c>
      <c r="B1" s="6" t="s">
        <v>16</v>
      </c>
      <c r="C1" s="6" t="s">
        <v>2</v>
      </c>
      <c r="D1" s="6" t="s">
        <v>17</v>
      </c>
      <c r="E1" s="6" t="s">
        <v>18</v>
      </c>
      <c r="F1" s="6" t="s">
        <v>19</v>
      </c>
      <c r="G1" s="6" t="s">
        <v>20</v>
      </c>
    </row>
    <row r="2">
      <c r="A2" s="6">
        <v>1.503960366E9</v>
      </c>
      <c r="B2" s="7">
        <v>42472.0</v>
      </c>
      <c r="C2" s="8">
        <f t="shared" ref="C2:C414" si="1">DATEVALUE(B2)</f>
        <v>42472</v>
      </c>
      <c r="D2" s="6">
        <v>1.0</v>
      </c>
      <c r="E2" s="6">
        <v>327.0</v>
      </c>
      <c r="F2" s="6">
        <v>346.0</v>
      </c>
      <c r="G2" s="6">
        <f t="shared" ref="G2:G414" si="2">F2-E2</f>
        <v>19</v>
      </c>
    </row>
    <row r="3">
      <c r="A3" s="6">
        <v>1.503960366E9</v>
      </c>
      <c r="B3" s="7">
        <v>42473.0</v>
      </c>
      <c r="C3" s="8">
        <f t="shared" si="1"/>
        <v>42473</v>
      </c>
      <c r="D3" s="6">
        <v>2.0</v>
      </c>
      <c r="E3" s="6">
        <v>384.0</v>
      </c>
      <c r="F3" s="6">
        <v>407.0</v>
      </c>
      <c r="G3" s="6">
        <f t="shared" si="2"/>
        <v>23</v>
      </c>
    </row>
    <row r="4">
      <c r="A4" s="6">
        <v>1.503960366E9</v>
      </c>
      <c r="B4" s="7">
        <v>42475.0</v>
      </c>
      <c r="C4" s="8">
        <f t="shared" si="1"/>
        <v>42475</v>
      </c>
      <c r="D4" s="6">
        <v>1.0</v>
      </c>
      <c r="E4" s="6">
        <v>412.0</v>
      </c>
      <c r="F4" s="6">
        <v>442.0</v>
      </c>
      <c r="G4" s="6">
        <f t="shared" si="2"/>
        <v>30</v>
      </c>
    </row>
    <row r="5">
      <c r="A5" s="6">
        <v>1.503960366E9</v>
      </c>
      <c r="B5" s="7">
        <v>42476.0</v>
      </c>
      <c r="C5" s="8">
        <f t="shared" si="1"/>
        <v>42476</v>
      </c>
      <c r="D5" s="6">
        <v>2.0</v>
      </c>
      <c r="E5" s="6">
        <v>340.0</v>
      </c>
      <c r="F5" s="6">
        <v>367.0</v>
      </c>
      <c r="G5" s="6">
        <f t="shared" si="2"/>
        <v>27</v>
      </c>
    </row>
    <row r="6">
      <c r="A6" s="6">
        <v>1.503960366E9</v>
      </c>
      <c r="B6" s="7">
        <v>42477.0</v>
      </c>
      <c r="C6" s="8">
        <f t="shared" si="1"/>
        <v>42477</v>
      </c>
      <c r="D6" s="6">
        <v>1.0</v>
      </c>
      <c r="E6" s="6">
        <v>700.0</v>
      </c>
      <c r="F6" s="6">
        <v>712.0</v>
      </c>
      <c r="G6" s="6">
        <f t="shared" si="2"/>
        <v>12</v>
      </c>
    </row>
    <row r="7">
      <c r="A7" s="6">
        <v>1.503960366E9</v>
      </c>
      <c r="B7" s="7">
        <v>42479.0</v>
      </c>
      <c r="C7" s="8">
        <f t="shared" si="1"/>
        <v>42479</v>
      </c>
      <c r="D7" s="6">
        <v>1.0</v>
      </c>
      <c r="E7" s="6">
        <v>304.0</v>
      </c>
      <c r="F7" s="6">
        <v>320.0</v>
      </c>
      <c r="G7" s="6">
        <f t="shared" si="2"/>
        <v>16</v>
      </c>
    </row>
    <row r="8">
      <c r="A8" s="6">
        <v>1.503960366E9</v>
      </c>
      <c r="B8" s="7">
        <v>42480.0</v>
      </c>
      <c r="C8" s="8">
        <f t="shared" si="1"/>
        <v>42480</v>
      </c>
      <c r="D8" s="6">
        <v>1.0</v>
      </c>
      <c r="E8" s="6">
        <v>360.0</v>
      </c>
      <c r="F8" s="6">
        <v>377.0</v>
      </c>
      <c r="G8" s="6">
        <f t="shared" si="2"/>
        <v>17</v>
      </c>
    </row>
    <row r="9">
      <c r="A9" s="6">
        <v>1.503960366E9</v>
      </c>
      <c r="B9" s="7">
        <v>42481.0</v>
      </c>
      <c r="C9" s="8">
        <f t="shared" si="1"/>
        <v>42481</v>
      </c>
      <c r="D9" s="6">
        <v>1.0</v>
      </c>
      <c r="E9" s="6">
        <v>325.0</v>
      </c>
      <c r="F9" s="6">
        <v>364.0</v>
      </c>
      <c r="G9" s="6">
        <f t="shared" si="2"/>
        <v>39</v>
      </c>
    </row>
    <row r="10">
      <c r="A10" s="6">
        <v>1.503960366E9</v>
      </c>
      <c r="B10" s="7">
        <v>42483.0</v>
      </c>
      <c r="C10" s="8">
        <f t="shared" si="1"/>
        <v>42483</v>
      </c>
      <c r="D10" s="6">
        <v>1.0</v>
      </c>
      <c r="E10" s="6">
        <v>361.0</v>
      </c>
      <c r="F10" s="6">
        <v>384.0</v>
      </c>
      <c r="G10" s="6">
        <f t="shared" si="2"/>
        <v>23</v>
      </c>
    </row>
    <row r="11">
      <c r="A11" s="6">
        <v>1.503960366E9</v>
      </c>
      <c r="B11" s="7">
        <v>42484.0</v>
      </c>
      <c r="C11" s="8">
        <f t="shared" si="1"/>
        <v>42484</v>
      </c>
      <c r="D11" s="6">
        <v>1.0</v>
      </c>
      <c r="E11" s="6">
        <v>430.0</v>
      </c>
      <c r="F11" s="6">
        <v>449.0</v>
      </c>
      <c r="G11" s="6">
        <f t="shared" si="2"/>
        <v>19</v>
      </c>
    </row>
    <row r="12">
      <c r="A12" s="6">
        <v>1.503960366E9</v>
      </c>
      <c r="B12" s="7">
        <v>42485.0</v>
      </c>
      <c r="C12" s="8">
        <f t="shared" si="1"/>
        <v>42485</v>
      </c>
      <c r="D12" s="6">
        <v>1.0</v>
      </c>
      <c r="E12" s="6">
        <v>277.0</v>
      </c>
      <c r="F12" s="6">
        <v>323.0</v>
      </c>
      <c r="G12" s="6">
        <f t="shared" si="2"/>
        <v>46</v>
      </c>
    </row>
    <row r="13">
      <c r="A13" s="6">
        <v>1.503960366E9</v>
      </c>
      <c r="B13" s="7">
        <v>42486.0</v>
      </c>
      <c r="C13" s="8">
        <f t="shared" si="1"/>
        <v>42486</v>
      </c>
      <c r="D13" s="6">
        <v>1.0</v>
      </c>
      <c r="E13" s="6">
        <v>245.0</v>
      </c>
      <c r="F13" s="6">
        <v>274.0</v>
      </c>
      <c r="G13" s="6">
        <f t="shared" si="2"/>
        <v>29</v>
      </c>
    </row>
    <row r="14">
      <c r="A14" s="6">
        <v>1.503960366E9</v>
      </c>
      <c r="B14" s="7">
        <v>42488.0</v>
      </c>
      <c r="C14" s="8">
        <f t="shared" si="1"/>
        <v>42488</v>
      </c>
      <c r="D14" s="6">
        <v>1.0</v>
      </c>
      <c r="E14" s="6">
        <v>366.0</v>
      </c>
      <c r="F14" s="6">
        <v>393.0</v>
      </c>
      <c r="G14" s="6">
        <f t="shared" si="2"/>
        <v>27</v>
      </c>
    </row>
    <row r="15">
      <c r="A15" s="6">
        <v>1.503960366E9</v>
      </c>
      <c r="B15" s="7">
        <v>42489.0</v>
      </c>
      <c r="C15" s="8">
        <f t="shared" si="1"/>
        <v>42489</v>
      </c>
      <c r="D15" s="6">
        <v>1.0</v>
      </c>
      <c r="E15" s="6">
        <v>341.0</v>
      </c>
      <c r="F15" s="6">
        <v>354.0</v>
      </c>
      <c r="G15" s="6">
        <f t="shared" si="2"/>
        <v>13</v>
      </c>
    </row>
    <row r="16">
      <c r="A16" s="6">
        <v>1.503960366E9</v>
      </c>
      <c r="B16" s="7">
        <v>42490.0</v>
      </c>
      <c r="C16" s="8">
        <f t="shared" si="1"/>
        <v>42490</v>
      </c>
      <c r="D16" s="6">
        <v>1.0</v>
      </c>
      <c r="E16" s="6">
        <v>404.0</v>
      </c>
      <c r="F16" s="6">
        <v>425.0</v>
      </c>
      <c r="G16" s="6">
        <f t="shared" si="2"/>
        <v>21</v>
      </c>
    </row>
    <row r="17">
      <c r="A17" s="6">
        <v>1.503960366E9</v>
      </c>
      <c r="B17" s="7">
        <v>42491.0</v>
      </c>
      <c r="C17" s="8">
        <f t="shared" si="1"/>
        <v>42491</v>
      </c>
      <c r="D17" s="6">
        <v>1.0</v>
      </c>
      <c r="E17" s="6">
        <v>369.0</v>
      </c>
      <c r="F17" s="6">
        <v>396.0</v>
      </c>
      <c r="G17" s="6">
        <f t="shared" si="2"/>
        <v>27</v>
      </c>
    </row>
    <row r="18">
      <c r="A18" s="6">
        <v>1.503960366E9</v>
      </c>
      <c r="B18" s="7">
        <v>42492.0</v>
      </c>
      <c r="C18" s="8">
        <f t="shared" si="1"/>
        <v>42492</v>
      </c>
      <c r="D18" s="6">
        <v>1.0</v>
      </c>
      <c r="E18" s="6">
        <v>277.0</v>
      </c>
      <c r="F18" s="6">
        <v>309.0</v>
      </c>
      <c r="G18" s="6">
        <f t="shared" si="2"/>
        <v>32</v>
      </c>
    </row>
    <row r="19">
      <c r="A19" s="6">
        <v>1.503960366E9</v>
      </c>
      <c r="B19" s="7">
        <v>42493.0</v>
      </c>
      <c r="C19" s="8">
        <f t="shared" si="1"/>
        <v>42493</v>
      </c>
      <c r="D19" s="6">
        <v>1.0</v>
      </c>
      <c r="E19" s="6">
        <v>273.0</v>
      </c>
      <c r="F19" s="6">
        <v>296.0</v>
      </c>
      <c r="G19" s="6">
        <f t="shared" si="2"/>
        <v>23</v>
      </c>
    </row>
    <row r="20">
      <c r="A20" s="6">
        <v>1.503960366E9</v>
      </c>
      <c r="B20" s="7">
        <v>42495.0</v>
      </c>
      <c r="C20" s="8">
        <f t="shared" si="1"/>
        <v>42495</v>
      </c>
      <c r="D20" s="6">
        <v>1.0</v>
      </c>
      <c r="E20" s="6">
        <v>247.0</v>
      </c>
      <c r="F20" s="6">
        <v>264.0</v>
      </c>
      <c r="G20" s="6">
        <f t="shared" si="2"/>
        <v>17</v>
      </c>
    </row>
    <row r="21">
      <c r="A21" s="6">
        <v>1.503960366E9</v>
      </c>
      <c r="B21" s="7">
        <v>42496.0</v>
      </c>
      <c r="C21" s="8">
        <f t="shared" si="1"/>
        <v>42496</v>
      </c>
      <c r="D21" s="6">
        <v>1.0</v>
      </c>
      <c r="E21" s="6">
        <v>334.0</v>
      </c>
      <c r="F21" s="6">
        <v>367.0</v>
      </c>
      <c r="G21" s="6">
        <f t="shared" si="2"/>
        <v>33</v>
      </c>
    </row>
    <row r="22">
      <c r="A22" s="6">
        <v>1.503960366E9</v>
      </c>
      <c r="B22" s="7">
        <v>42497.0</v>
      </c>
      <c r="C22" s="8">
        <f t="shared" si="1"/>
        <v>42497</v>
      </c>
      <c r="D22" s="6">
        <v>1.0</v>
      </c>
      <c r="E22" s="6">
        <v>331.0</v>
      </c>
      <c r="F22" s="6">
        <v>349.0</v>
      </c>
      <c r="G22" s="6">
        <f t="shared" si="2"/>
        <v>18</v>
      </c>
    </row>
    <row r="23">
      <c r="A23" s="6">
        <v>1.503960366E9</v>
      </c>
      <c r="B23" s="7">
        <v>42498.0</v>
      </c>
      <c r="C23" s="8">
        <f t="shared" si="1"/>
        <v>42498</v>
      </c>
      <c r="D23" s="6">
        <v>1.0</v>
      </c>
      <c r="E23" s="6">
        <v>594.0</v>
      </c>
      <c r="F23" s="6">
        <v>611.0</v>
      </c>
      <c r="G23" s="6">
        <f t="shared" si="2"/>
        <v>17</v>
      </c>
    </row>
    <row r="24">
      <c r="A24" s="6">
        <v>1.503960366E9</v>
      </c>
      <c r="B24" s="7">
        <v>42499.0</v>
      </c>
      <c r="C24" s="8">
        <f t="shared" si="1"/>
        <v>42499</v>
      </c>
      <c r="D24" s="6">
        <v>1.0</v>
      </c>
      <c r="E24" s="6">
        <v>338.0</v>
      </c>
      <c r="F24" s="6">
        <v>342.0</v>
      </c>
      <c r="G24" s="6">
        <f t="shared" si="2"/>
        <v>4</v>
      </c>
    </row>
    <row r="25">
      <c r="A25" s="6">
        <v>1.503960366E9</v>
      </c>
      <c r="B25" s="7">
        <v>42500.0</v>
      </c>
      <c r="C25" s="8">
        <f t="shared" si="1"/>
        <v>42500</v>
      </c>
      <c r="D25" s="6">
        <v>1.0</v>
      </c>
      <c r="E25" s="6">
        <v>383.0</v>
      </c>
      <c r="F25" s="6">
        <v>403.0</v>
      </c>
      <c r="G25" s="6">
        <f t="shared" si="2"/>
        <v>20</v>
      </c>
    </row>
    <row r="26">
      <c r="A26" s="6">
        <v>1.503960366E9</v>
      </c>
      <c r="B26" s="7">
        <v>42501.0</v>
      </c>
      <c r="C26" s="8">
        <f t="shared" si="1"/>
        <v>42501</v>
      </c>
      <c r="D26" s="6">
        <v>1.0</v>
      </c>
      <c r="E26" s="6">
        <v>285.0</v>
      </c>
      <c r="F26" s="6">
        <v>306.0</v>
      </c>
      <c r="G26" s="6">
        <f t="shared" si="2"/>
        <v>21</v>
      </c>
    </row>
    <row r="27">
      <c r="A27" s="6">
        <v>1.644430081E9</v>
      </c>
      <c r="B27" s="7">
        <v>42489.0</v>
      </c>
      <c r="C27" s="8">
        <f t="shared" si="1"/>
        <v>42489</v>
      </c>
      <c r="D27" s="6">
        <v>1.0</v>
      </c>
      <c r="E27" s="6">
        <v>119.0</v>
      </c>
      <c r="F27" s="6">
        <v>127.0</v>
      </c>
      <c r="G27" s="6">
        <f t="shared" si="2"/>
        <v>8</v>
      </c>
    </row>
    <row r="28">
      <c r="A28" s="6">
        <v>1.644430081E9</v>
      </c>
      <c r="B28" s="7">
        <v>42490.0</v>
      </c>
      <c r="C28" s="8">
        <f t="shared" si="1"/>
        <v>42490</v>
      </c>
      <c r="D28" s="6">
        <v>1.0</v>
      </c>
      <c r="E28" s="6">
        <v>124.0</v>
      </c>
      <c r="F28" s="6">
        <v>142.0</v>
      </c>
      <c r="G28" s="6">
        <f t="shared" si="2"/>
        <v>18</v>
      </c>
    </row>
    <row r="29">
      <c r="A29" s="6">
        <v>1.644430081E9</v>
      </c>
      <c r="B29" s="7">
        <v>42492.0</v>
      </c>
      <c r="C29" s="8">
        <f t="shared" si="1"/>
        <v>42492</v>
      </c>
      <c r="D29" s="6">
        <v>1.0</v>
      </c>
      <c r="E29" s="6">
        <v>796.0</v>
      </c>
      <c r="F29" s="6">
        <v>961.0</v>
      </c>
      <c r="G29" s="6">
        <f t="shared" si="2"/>
        <v>165</v>
      </c>
    </row>
    <row r="30">
      <c r="A30" s="6">
        <v>1.644430081E9</v>
      </c>
      <c r="B30" s="7">
        <v>42498.0</v>
      </c>
      <c r="C30" s="8">
        <f t="shared" si="1"/>
        <v>42498</v>
      </c>
      <c r="D30" s="6">
        <v>1.0</v>
      </c>
      <c r="E30" s="6">
        <v>137.0</v>
      </c>
      <c r="F30" s="6">
        <v>154.0</v>
      </c>
      <c r="G30" s="6">
        <f t="shared" si="2"/>
        <v>17</v>
      </c>
    </row>
    <row r="31">
      <c r="A31" s="6">
        <v>1.844505072E9</v>
      </c>
      <c r="B31" s="7">
        <v>42475.0</v>
      </c>
      <c r="C31" s="8">
        <f t="shared" si="1"/>
        <v>42475</v>
      </c>
      <c r="D31" s="6">
        <v>1.0</v>
      </c>
      <c r="E31" s="6">
        <v>644.0</v>
      </c>
      <c r="F31" s="6">
        <v>961.0</v>
      </c>
      <c r="G31" s="6">
        <f t="shared" si="2"/>
        <v>317</v>
      </c>
    </row>
    <row r="32">
      <c r="A32" s="6">
        <v>1.844505072E9</v>
      </c>
      <c r="B32" s="7">
        <v>42490.0</v>
      </c>
      <c r="C32" s="8">
        <f t="shared" si="1"/>
        <v>42490</v>
      </c>
      <c r="D32" s="6">
        <v>1.0</v>
      </c>
      <c r="E32" s="6">
        <v>722.0</v>
      </c>
      <c r="F32" s="6">
        <v>961.0</v>
      </c>
      <c r="G32" s="6">
        <f t="shared" si="2"/>
        <v>239</v>
      </c>
    </row>
    <row r="33">
      <c r="A33" s="6">
        <v>1.844505072E9</v>
      </c>
      <c r="B33" s="7">
        <v>42491.0</v>
      </c>
      <c r="C33" s="8">
        <f t="shared" si="1"/>
        <v>42491</v>
      </c>
      <c r="D33" s="6">
        <v>1.0</v>
      </c>
      <c r="E33" s="6">
        <v>590.0</v>
      </c>
      <c r="F33" s="6">
        <v>961.0</v>
      </c>
      <c r="G33" s="6">
        <f t="shared" si="2"/>
        <v>371</v>
      </c>
    </row>
    <row r="34">
      <c r="A34" s="6">
        <v>1.927972279E9</v>
      </c>
      <c r="B34" s="7">
        <v>42472.0</v>
      </c>
      <c r="C34" s="8">
        <f t="shared" si="1"/>
        <v>42472</v>
      </c>
      <c r="D34" s="6">
        <v>3.0</v>
      </c>
      <c r="E34" s="6">
        <v>750.0</v>
      </c>
      <c r="F34" s="6">
        <v>775.0</v>
      </c>
      <c r="G34" s="6">
        <f t="shared" si="2"/>
        <v>25</v>
      </c>
    </row>
    <row r="35">
      <c r="A35" s="6">
        <v>1.927972279E9</v>
      </c>
      <c r="B35" s="7">
        <v>42473.0</v>
      </c>
      <c r="C35" s="8">
        <f t="shared" si="1"/>
        <v>42473</v>
      </c>
      <c r="D35" s="6">
        <v>1.0</v>
      </c>
      <c r="E35" s="6">
        <v>398.0</v>
      </c>
      <c r="F35" s="6">
        <v>422.0</v>
      </c>
      <c r="G35" s="6">
        <f t="shared" si="2"/>
        <v>24</v>
      </c>
    </row>
    <row r="36">
      <c r="A36" s="6">
        <v>1.927972279E9</v>
      </c>
      <c r="B36" s="7">
        <v>42475.0</v>
      </c>
      <c r="C36" s="8">
        <f t="shared" si="1"/>
        <v>42475</v>
      </c>
      <c r="D36" s="6">
        <v>2.0</v>
      </c>
      <c r="E36" s="6">
        <v>475.0</v>
      </c>
      <c r="F36" s="6">
        <v>499.0</v>
      </c>
      <c r="G36" s="6">
        <f t="shared" si="2"/>
        <v>24</v>
      </c>
    </row>
    <row r="37">
      <c r="A37" s="6">
        <v>1.927972279E9</v>
      </c>
      <c r="B37" s="7">
        <v>42486.0</v>
      </c>
      <c r="C37" s="8">
        <f t="shared" si="1"/>
        <v>42486</v>
      </c>
      <c r="D37" s="6">
        <v>1.0</v>
      </c>
      <c r="E37" s="6">
        <v>296.0</v>
      </c>
      <c r="F37" s="6">
        <v>315.0</v>
      </c>
      <c r="G37" s="6">
        <f t="shared" si="2"/>
        <v>19</v>
      </c>
    </row>
    <row r="38">
      <c r="A38" s="6">
        <v>1.927972279E9</v>
      </c>
      <c r="B38" s="7">
        <v>42488.0</v>
      </c>
      <c r="C38" s="8">
        <f t="shared" si="1"/>
        <v>42488</v>
      </c>
      <c r="D38" s="6">
        <v>1.0</v>
      </c>
      <c r="E38" s="6">
        <v>166.0</v>
      </c>
      <c r="F38" s="6">
        <v>178.0</v>
      </c>
      <c r="G38" s="6">
        <f t="shared" si="2"/>
        <v>12</v>
      </c>
    </row>
    <row r="39">
      <c r="A39" s="6">
        <v>2.026352035E9</v>
      </c>
      <c r="B39" s="7">
        <v>42472.0</v>
      </c>
      <c r="C39" s="8">
        <f t="shared" si="1"/>
        <v>42472</v>
      </c>
      <c r="D39" s="6">
        <v>1.0</v>
      </c>
      <c r="E39" s="6">
        <v>503.0</v>
      </c>
      <c r="F39" s="6">
        <v>546.0</v>
      </c>
      <c r="G39" s="6">
        <f t="shared" si="2"/>
        <v>43</v>
      </c>
    </row>
    <row r="40">
      <c r="A40" s="6">
        <v>2.026352035E9</v>
      </c>
      <c r="B40" s="7">
        <v>42473.0</v>
      </c>
      <c r="C40" s="8">
        <f t="shared" si="1"/>
        <v>42473</v>
      </c>
      <c r="D40" s="6">
        <v>1.0</v>
      </c>
      <c r="E40" s="6">
        <v>531.0</v>
      </c>
      <c r="F40" s="6">
        <v>565.0</v>
      </c>
      <c r="G40" s="6">
        <f t="shared" si="2"/>
        <v>34</v>
      </c>
    </row>
    <row r="41">
      <c r="A41" s="6">
        <v>2.026352035E9</v>
      </c>
      <c r="B41" s="7">
        <v>42474.0</v>
      </c>
      <c r="C41" s="8">
        <f t="shared" si="1"/>
        <v>42474</v>
      </c>
      <c r="D41" s="6">
        <v>1.0</v>
      </c>
      <c r="E41" s="6">
        <v>545.0</v>
      </c>
      <c r="F41" s="6">
        <v>568.0</v>
      </c>
      <c r="G41" s="6">
        <f t="shared" si="2"/>
        <v>23</v>
      </c>
    </row>
    <row r="42">
      <c r="A42" s="6">
        <v>2.026352035E9</v>
      </c>
      <c r="B42" s="7">
        <v>42475.0</v>
      </c>
      <c r="C42" s="8">
        <f t="shared" si="1"/>
        <v>42475</v>
      </c>
      <c r="D42" s="6">
        <v>1.0</v>
      </c>
      <c r="E42" s="6">
        <v>523.0</v>
      </c>
      <c r="F42" s="6">
        <v>573.0</v>
      </c>
      <c r="G42" s="6">
        <f t="shared" si="2"/>
        <v>50</v>
      </c>
    </row>
    <row r="43">
      <c r="A43" s="6">
        <v>2.026352035E9</v>
      </c>
      <c r="B43" s="7">
        <v>42476.0</v>
      </c>
      <c r="C43" s="8">
        <f t="shared" si="1"/>
        <v>42476</v>
      </c>
      <c r="D43" s="6">
        <v>1.0</v>
      </c>
      <c r="E43" s="6">
        <v>524.0</v>
      </c>
      <c r="F43" s="6">
        <v>567.0</v>
      </c>
      <c r="G43" s="6">
        <f t="shared" si="2"/>
        <v>43</v>
      </c>
    </row>
    <row r="44">
      <c r="A44" s="6">
        <v>2.026352035E9</v>
      </c>
      <c r="B44" s="7">
        <v>42477.0</v>
      </c>
      <c r="C44" s="8">
        <f t="shared" si="1"/>
        <v>42477</v>
      </c>
      <c r="D44" s="6">
        <v>1.0</v>
      </c>
      <c r="E44" s="6">
        <v>437.0</v>
      </c>
      <c r="F44" s="6">
        <v>498.0</v>
      </c>
      <c r="G44" s="6">
        <f t="shared" si="2"/>
        <v>61</v>
      </c>
    </row>
    <row r="45">
      <c r="A45" s="6">
        <v>2.026352035E9</v>
      </c>
      <c r="B45" s="7">
        <v>42479.0</v>
      </c>
      <c r="C45" s="8">
        <f t="shared" si="1"/>
        <v>42479</v>
      </c>
      <c r="D45" s="6">
        <v>1.0</v>
      </c>
      <c r="E45" s="6">
        <v>498.0</v>
      </c>
      <c r="F45" s="6">
        <v>540.0</v>
      </c>
      <c r="G45" s="6">
        <f t="shared" si="2"/>
        <v>42</v>
      </c>
    </row>
    <row r="46">
      <c r="A46" s="6">
        <v>2.026352035E9</v>
      </c>
      <c r="B46" s="7">
        <v>42480.0</v>
      </c>
      <c r="C46" s="8">
        <f t="shared" si="1"/>
        <v>42480</v>
      </c>
      <c r="D46" s="6">
        <v>1.0</v>
      </c>
      <c r="E46" s="6">
        <v>461.0</v>
      </c>
      <c r="F46" s="6">
        <v>510.0</v>
      </c>
      <c r="G46" s="6">
        <f t="shared" si="2"/>
        <v>49</v>
      </c>
    </row>
    <row r="47">
      <c r="A47" s="6">
        <v>2.026352035E9</v>
      </c>
      <c r="B47" s="7">
        <v>42481.0</v>
      </c>
      <c r="C47" s="8">
        <f t="shared" si="1"/>
        <v>42481</v>
      </c>
      <c r="D47" s="6">
        <v>1.0</v>
      </c>
      <c r="E47" s="6">
        <v>477.0</v>
      </c>
      <c r="F47" s="6">
        <v>514.0</v>
      </c>
      <c r="G47" s="6">
        <f t="shared" si="2"/>
        <v>37</v>
      </c>
    </row>
    <row r="48">
      <c r="A48" s="6">
        <v>2.026352035E9</v>
      </c>
      <c r="B48" s="7">
        <v>42482.0</v>
      </c>
      <c r="C48" s="8">
        <f t="shared" si="1"/>
        <v>42482</v>
      </c>
      <c r="D48" s="6">
        <v>1.0</v>
      </c>
      <c r="E48" s="6">
        <v>520.0</v>
      </c>
      <c r="F48" s="6">
        <v>545.0</v>
      </c>
      <c r="G48" s="6">
        <f t="shared" si="2"/>
        <v>25</v>
      </c>
    </row>
    <row r="49">
      <c r="A49" s="6">
        <v>2.026352035E9</v>
      </c>
      <c r="B49" s="7">
        <v>42483.0</v>
      </c>
      <c r="C49" s="8">
        <f t="shared" si="1"/>
        <v>42483</v>
      </c>
      <c r="D49" s="6">
        <v>1.0</v>
      </c>
      <c r="E49" s="6">
        <v>522.0</v>
      </c>
      <c r="F49" s="6">
        <v>554.0</v>
      </c>
      <c r="G49" s="6">
        <f t="shared" si="2"/>
        <v>32</v>
      </c>
    </row>
    <row r="50">
      <c r="A50" s="6">
        <v>2.026352035E9</v>
      </c>
      <c r="B50" s="7">
        <v>42484.0</v>
      </c>
      <c r="C50" s="8">
        <f t="shared" si="1"/>
        <v>42484</v>
      </c>
      <c r="D50" s="6">
        <v>1.0</v>
      </c>
      <c r="E50" s="6">
        <v>555.0</v>
      </c>
      <c r="F50" s="6">
        <v>591.0</v>
      </c>
      <c r="G50" s="6">
        <f t="shared" si="2"/>
        <v>36</v>
      </c>
    </row>
    <row r="51">
      <c r="A51" s="6">
        <v>2.026352035E9</v>
      </c>
      <c r="B51" s="7">
        <v>42485.0</v>
      </c>
      <c r="C51" s="8">
        <f t="shared" si="1"/>
        <v>42485</v>
      </c>
      <c r="D51" s="6">
        <v>1.0</v>
      </c>
      <c r="E51" s="6">
        <v>506.0</v>
      </c>
      <c r="F51" s="6">
        <v>531.0</v>
      </c>
      <c r="G51" s="6">
        <f t="shared" si="2"/>
        <v>25</v>
      </c>
    </row>
    <row r="52">
      <c r="A52" s="6">
        <v>2.026352035E9</v>
      </c>
      <c r="B52" s="7">
        <v>42487.0</v>
      </c>
      <c r="C52" s="8">
        <f t="shared" si="1"/>
        <v>42487</v>
      </c>
      <c r="D52" s="6">
        <v>1.0</v>
      </c>
      <c r="E52" s="6">
        <v>508.0</v>
      </c>
      <c r="F52" s="6">
        <v>545.0</v>
      </c>
      <c r="G52" s="6">
        <f t="shared" si="2"/>
        <v>37</v>
      </c>
    </row>
    <row r="53">
      <c r="A53" s="6">
        <v>2.026352035E9</v>
      </c>
      <c r="B53" s="7">
        <v>42488.0</v>
      </c>
      <c r="C53" s="8">
        <f t="shared" si="1"/>
        <v>42488</v>
      </c>
      <c r="D53" s="6">
        <v>1.0</v>
      </c>
      <c r="E53" s="6">
        <v>513.0</v>
      </c>
      <c r="F53" s="6">
        <v>545.0</v>
      </c>
      <c r="G53" s="6">
        <f t="shared" si="2"/>
        <v>32</v>
      </c>
    </row>
    <row r="54">
      <c r="A54" s="6">
        <v>2.026352035E9</v>
      </c>
      <c r="B54" s="7">
        <v>42489.0</v>
      </c>
      <c r="C54" s="8">
        <f t="shared" si="1"/>
        <v>42489</v>
      </c>
      <c r="D54" s="6">
        <v>1.0</v>
      </c>
      <c r="E54" s="6">
        <v>490.0</v>
      </c>
      <c r="F54" s="6">
        <v>510.0</v>
      </c>
      <c r="G54" s="6">
        <f t="shared" si="2"/>
        <v>20</v>
      </c>
    </row>
    <row r="55">
      <c r="A55" s="6">
        <v>2.026352035E9</v>
      </c>
      <c r="B55" s="7">
        <v>42490.0</v>
      </c>
      <c r="C55" s="8">
        <f t="shared" si="1"/>
        <v>42490</v>
      </c>
      <c r="D55" s="6">
        <v>1.0</v>
      </c>
      <c r="E55" s="6">
        <v>573.0</v>
      </c>
      <c r="F55" s="6">
        <v>607.0</v>
      </c>
      <c r="G55" s="6">
        <f t="shared" si="2"/>
        <v>34</v>
      </c>
    </row>
    <row r="56">
      <c r="A56" s="6">
        <v>2.026352035E9</v>
      </c>
      <c r="B56" s="7">
        <v>42491.0</v>
      </c>
      <c r="C56" s="8">
        <f t="shared" si="1"/>
        <v>42491</v>
      </c>
      <c r="D56" s="6">
        <v>1.0</v>
      </c>
      <c r="E56" s="6">
        <v>527.0</v>
      </c>
      <c r="F56" s="6">
        <v>546.0</v>
      </c>
      <c r="G56" s="6">
        <f t="shared" si="2"/>
        <v>19</v>
      </c>
    </row>
    <row r="57">
      <c r="A57" s="6">
        <v>2.026352035E9</v>
      </c>
      <c r="B57" s="7">
        <v>42492.0</v>
      </c>
      <c r="C57" s="8">
        <f t="shared" si="1"/>
        <v>42492</v>
      </c>
      <c r="D57" s="6">
        <v>1.0</v>
      </c>
      <c r="E57" s="6">
        <v>511.0</v>
      </c>
      <c r="F57" s="6">
        <v>543.0</v>
      </c>
      <c r="G57" s="6">
        <f t="shared" si="2"/>
        <v>32</v>
      </c>
    </row>
    <row r="58">
      <c r="A58" s="6">
        <v>2.026352035E9</v>
      </c>
      <c r="B58" s="7">
        <v>42494.0</v>
      </c>
      <c r="C58" s="8">
        <f t="shared" si="1"/>
        <v>42494</v>
      </c>
      <c r="D58" s="6">
        <v>1.0</v>
      </c>
      <c r="E58" s="6">
        <v>538.0</v>
      </c>
      <c r="F58" s="6">
        <v>560.0</v>
      </c>
      <c r="G58" s="6">
        <f t="shared" si="2"/>
        <v>22</v>
      </c>
    </row>
    <row r="59">
      <c r="A59" s="6">
        <v>2.026352035E9</v>
      </c>
      <c r="B59" s="7">
        <v>42495.0</v>
      </c>
      <c r="C59" s="8">
        <f t="shared" si="1"/>
        <v>42495</v>
      </c>
      <c r="D59" s="6">
        <v>1.0</v>
      </c>
      <c r="E59" s="6">
        <v>468.0</v>
      </c>
      <c r="F59" s="6">
        <v>485.0</v>
      </c>
      <c r="G59" s="6">
        <f t="shared" si="2"/>
        <v>17</v>
      </c>
    </row>
    <row r="60">
      <c r="A60" s="6">
        <v>2.026352035E9</v>
      </c>
      <c r="B60" s="7">
        <v>42496.0</v>
      </c>
      <c r="C60" s="8">
        <f t="shared" si="1"/>
        <v>42496</v>
      </c>
      <c r="D60" s="6">
        <v>1.0</v>
      </c>
      <c r="E60" s="6">
        <v>524.0</v>
      </c>
      <c r="F60" s="6">
        <v>548.0</v>
      </c>
      <c r="G60" s="6">
        <f t="shared" si="2"/>
        <v>24</v>
      </c>
    </row>
    <row r="61">
      <c r="A61" s="6">
        <v>2.026352035E9</v>
      </c>
      <c r="B61" s="7">
        <v>42497.0</v>
      </c>
      <c r="C61" s="8">
        <f t="shared" si="1"/>
        <v>42497</v>
      </c>
      <c r="D61" s="6">
        <v>1.0</v>
      </c>
      <c r="E61" s="6">
        <v>511.0</v>
      </c>
      <c r="F61" s="6">
        <v>521.0</v>
      </c>
      <c r="G61" s="6">
        <f t="shared" si="2"/>
        <v>10</v>
      </c>
    </row>
    <row r="62">
      <c r="A62" s="6">
        <v>2.026352035E9</v>
      </c>
      <c r="B62" s="7">
        <v>42498.0</v>
      </c>
      <c r="C62" s="8">
        <f t="shared" si="1"/>
        <v>42498</v>
      </c>
      <c r="D62" s="6">
        <v>1.0</v>
      </c>
      <c r="E62" s="6">
        <v>541.0</v>
      </c>
      <c r="F62" s="6">
        <v>568.0</v>
      </c>
      <c r="G62" s="6">
        <f t="shared" si="2"/>
        <v>27</v>
      </c>
    </row>
    <row r="63">
      <c r="A63" s="6">
        <v>2.026352035E9</v>
      </c>
      <c r="B63" s="7">
        <v>42499.0</v>
      </c>
      <c r="C63" s="8">
        <f t="shared" si="1"/>
        <v>42499</v>
      </c>
      <c r="D63" s="6">
        <v>1.0</v>
      </c>
      <c r="E63" s="6">
        <v>531.0</v>
      </c>
      <c r="F63" s="6">
        <v>556.0</v>
      </c>
      <c r="G63" s="6">
        <f t="shared" si="2"/>
        <v>25</v>
      </c>
    </row>
    <row r="64">
      <c r="A64" s="6">
        <v>2.026352035E9</v>
      </c>
      <c r="B64" s="7">
        <v>42500.0</v>
      </c>
      <c r="C64" s="8">
        <f t="shared" si="1"/>
        <v>42500</v>
      </c>
      <c r="D64" s="6">
        <v>1.0</v>
      </c>
      <c r="E64" s="6">
        <v>357.0</v>
      </c>
      <c r="F64" s="6">
        <v>380.0</v>
      </c>
      <c r="G64" s="6">
        <f t="shared" si="2"/>
        <v>23</v>
      </c>
    </row>
    <row r="65">
      <c r="A65" s="6">
        <v>2.026352035E9</v>
      </c>
      <c r="B65" s="7">
        <v>42501.0</v>
      </c>
      <c r="C65" s="8">
        <f t="shared" si="1"/>
        <v>42501</v>
      </c>
      <c r="D65" s="6">
        <v>1.0</v>
      </c>
      <c r="E65" s="6">
        <v>523.0</v>
      </c>
      <c r="F65" s="6">
        <v>553.0</v>
      </c>
      <c r="G65" s="6">
        <f t="shared" si="2"/>
        <v>30</v>
      </c>
    </row>
    <row r="66">
      <c r="A66" s="6">
        <v>2.026352035E9</v>
      </c>
      <c r="B66" s="7">
        <v>42502.0</v>
      </c>
      <c r="C66" s="8">
        <f t="shared" si="1"/>
        <v>42502</v>
      </c>
      <c r="D66" s="6">
        <v>1.0</v>
      </c>
      <c r="E66" s="6">
        <v>456.0</v>
      </c>
      <c r="F66" s="6">
        <v>485.0</v>
      </c>
      <c r="G66" s="6">
        <f t="shared" si="2"/>
        <v>29</v>
      </c>
    </row>
    <row r="67">
      <c r="A67" s="6">
        <v>2.320127002E9</v>
      </c>
      <c r="B67" s="7">
        <v>42483.0</v>
      </c>
      <c r="C67" s="8">
        <f t="shared" si="1"/>
        <v>42483</v>
      </c>
      <c r="D67" s="6">
        <v>1.0</v>
      </c>
      <c r="E67" s="6">
        <v>61.0</v>
      </c>
      <c r="F67" s="6">
        <v>69.0</v>
      </c>
      <c r="G67" s="6">
        <f t="shared" si="2"/>
        <v>8</v>
      </c>
    </row>
    <row r="68">
      <c r="A68" s="6">
        <v>2.347167796E9</v>
      </c>
      <c r="B68" s="7">
        <v>42473.0</v>
      </c>
      <c r="C68" s="8">
        <f t="shared" si="1"/>
        <v>42473</v>
      </c>
      <c r="D68" s="6">
        <v>1.0</v>
      </c>
      <c r="E68" s="6">
        <v>467.0</v>
      </c>
      <c r="F68" s="6">
        <v>531.0</v>
      </c>
      <c r="G68" s="6">
        <f t="shared" si="2"/>
        <v>64</v>
      </c>
    </row>
    <row r="69">
      <c r="A69" s="6">
        <v>2.347167796E9</v>
      </c>
      <c r="B69" s="7">
        <v>42474.0</v>
      </c>
      <c r="C69" s="8">
        <f t="shared" si="1"/>
        <v>42474</v>
      </c>
      <c r="D69" s="6">
        <v>1.0</v>
      </c>
      <c r="E69" s="6">
        <v>445.0</v>
      </c>
      <c r="F69" s="6">
        <v>489.0</v>
      </c>
      <c r="G69" s="6">
        <f t="shared" si="2"/>
        <v>44</v>
      </c>
    </row>
    <row r="70">
      <c r="A70" s="6">
        <v>2.347167796E9</v>
      </c>
      <c r="B70" s="7">
        <v>42475.0</v>
      </c>
      <c r="C70" s="8">
        <f t="shared" si="1"/>
        <v>42475</v>
      </c>
      <c r="D70" s="6">
        <v>1.0</v>
      </c>
      <c r="E70" s="6">
        <v>452.0</v>
      </c>
      <c r="F70" s="6">
        <v>504.0</v>
      </c>
      <c r="G70" s="6">
        <f t="shared" si="2"/>
        <v>52</v>
      </c>
    </row>
    <row r="71">
      <c r="A71" s="6">
        <v>2.347167796E9</v>
      </c>
      <c r="B71" s="7">
        <v>42477.0</v>
      </c>
      <c r="C71" s="8">
        <f t="shared" si="1"/>
        <v>42477</v>
      </c>
      <c r="D71" s="6">
        <v>1.0</v>
      </c>
      <c r="E71" s="6">
        <v>556.0</v>
      </c>
      <c r="F71" s="6">
        <v>602.0</v>
      </c>
      <c r="G71" s="6">
        <f t="shared" si="2"/>
        <v>46</v>
      </c>
    </row>
    <row r="72">
      <c r="A72" s="6">
        <v>2.347167796E9</v>
      </c>
      <c r="B72" s="7">
        <v>42478.0</v>
      </c>
      <c r="C72" s="8">
        <f t="shared" si="1"/>
        <v>42478</v>
      </c>
      <c r="D72" s="6">
        <v>1.0</v>
      </c>
      <c r="E72" s="6">
        <v>500.0</v>
      </c>
      <c r="F72" s="6">
        <v>557.0</v>
      </c>
      <c r="G72" s="6">
        <f t="shared" si="2"/>
        <v>57</v>
      </c>
    </row>
    <row r="73">
      <c r="A73" s="6">
        <v>2.347167796E9</v>
      </c>
      <c r="B73" s="7">
        <v>42479.0</v>
      </c>
      <c r="C73" s="8">
        <f t="shared" si="1"/>
        <v>42479</v>
      </c>
      <c r="D73" s="6">
        <v>1.0</v>
      </c>
      <c r="E73" s="6">
        <v>465.0</v>
      </c>
      <c r="F73" s="6">
        <v>514.0</v>
      </c>
      <c r="G73" s="6">
        <f t="shared" si="2"/>
        <v>49</v>
      </c>
    </row>
    <row r="74">
      <c r="A74" s="6">
        <v>2.347167796E9</v>
      </c>
      <c r="B74" s="7">
        <v>42481.0</v>
      </c>
      <c r="C74" s="8">
        <f t="shared" si="1"/>
        <v>42481</v>
      </c>
      <c r="D74" s="6">
        <v>1.0</v>
      </c>
      <c r="E74" s="6">
        <v>460.0</v>
      </c>
      <c r="F74" s="6">
        <v>484.0</v>
      </c>
      <c r="G74" s="6">
        <f t="shared" si="2"/>
        <v>24</v>
      </c>
    </row>
    <row r="75">
      <c r="A75" s="6">
        <v>2.347167796E9</v>
      </c>
      <c r="B75" s="7">
        <v>42482.0</v>
      </c>
      <c r="C75" s="8">
        <f t="shared" si="1"/>
        <v>42482</v>
      </c>
      <c r="D75" s="6">
        <v>1.0</v>
      </c>
      <c r="E75" s="6">
        <v>405.0</v>
      </c>
      <c r="F75" s="6">
        <v>461.0</v>
      </c>
      <c r="G75" s="6">
        <f t="shared" si="2"/>
        <v>56</v>
      </c>
    </row>
    <row r="76">
      <c r="A76" s="6">
        <v>2.347167796E9</v>
      </c>
      <c r="B76" s="7">
        <v>42483.0</v>
      </c>
      <c r="C76" s="8">
        <f t="shared" si="1"/>
        <v>42483</v>
      </c>
      <c r="D76" s="6">
        <v>1.0</v>
      </c>
      <c r="E76" s="6">
        <v>374.0</v>
      </c>
      <c r="F76" s="6">
        <v>386.0</v>
      </c>
      <c r="G76" s="6">
        <f t="shared" si="2"/>
        <v>12</v>
      </c>
    </row>
    <row r="77">
      <c r="A77" s="6">
        <v>2.347167796E9</v>
      </c>
      <c r="B77" s="7">
        <v>42484.0</v>
      </c>
      <c r="C77" s="8">
        <f t="shared" si="1"/>
        <v>42484</v>
      </c>
      <c r="D77" s="6">
        <v>1.0</v>
      </c>
      <c r="E77" s="6">
        <v>442.0</v>
      </c>
      <c r="F77" s="6">
        <v>459.0</v>
      </c>
      <c r="G77" s="6">
        <f t="shared" si="2"/>
        <v>17</v>
      </c>
    </row>
    <row r="78">
      <c r="A78" s="6">
        <v>2.347167796E9</v>
      </c>
      <c r="B78" s="7">
        <v>42485.0</v>
      </c>
      <c r="C78" s="8">
        <f t="shared" si="1"/>
        <v>42485</v>
      </c>
      <c r="D78" s="6">
        <v>1.0</v>
      </c>
      <c r="E78" s="6">
        <v>433.0</v>
      </c>
      <c r="F78" s="6">
        <v>471.0</v>
      </c>
      <c r="G78" s="6">
        <f t="shared" si="2"/>
        <v>38</v>
      </c>
    </row>
    <row r="79">
      <c r="A79" s="6">
        <v>2.347167796E9</v>
      </c>
      <c r="B79" s="7">
        <v>42486.0</v>
      </c>
      <c r="C79" s="8">
        <f t="shared" si="1"/>
        <v>42486</v>
      </c>
      <c r="D79" s="6">
        <v>1.0</v>
      </c>
      <c r="E79" s="6">
        <v>436.0</v>
      </c>
      <c r="F79" s="6">
        <v>490.0</v>
      </c>
      <c r="G79" s="6">
        <f t="shared" si="2"/>
        <v>54</v>
      </c>
    </row>
    <row r="80">
      <c r="A80" s="6">
        <v>2.347167796E9</v>
      </c>
      <c r="B80" s="7">
        <v>42487.0</v>
      </c>
      <c r="C80" s="8">
        <f t="shared" si="1"/>
        <v>42487</v>
      </c>
      <c r="D80" s="6">
        <v>1.0</v>
      </c>
      <c r="E80" s="6">
        <v>448.0</v>
      </c>
      <c r="F80" s="6">
        <v>499.0</v>
      </c>
      <c r="G80" s="6">
        <f t="shared" si="2"/>
        <v>51</v>
      </c>
    </row>
    <row r="81">
      <c r="A81" s="6">
        <v>2.347167796E9</v>
      </c>
      <c r="B81" s="7">
        <v>42488.0</v>
      </c>
      <c r="C81" s="8">
        <f t="shared" si="1"/>
        <v>42488</v>
      </c>
      <c r="D81" s="6">
        <v>1.0</v>
      </c>
      <c r="E81" s="6">
        <v>408.0</v>
      </c>
      <c r="F81" s="6">
        <v>450.0</v>
      </c>
      <c r="G81" s="6">
        <f t="shared" si="2"/>
        <v>42</v>
      </c>
    </row>
    <row r="82">
      <c r="A82" s="6">
        <v>2.347167796E9</v>
      </c>
      <c r="B82" s="7">
        <v>42489.0</v>
      </c>
      <c r="C82" s="8">
        <f t="shared" si="1"/>
        <v>42489</v>
      </c>
      <c r="D82" s="6">
        <v>1.0</v>
      </c>
      <c r="E82" s="6">
        <v>411.0</v>
      </c>
      <c r="F82" s="6">
        <v>473.0</v>
      </c>
      <c r="G82" s="6">
        <f t="shared" si="2"/>
        <v>62</v>
      </c>
    </row>
    <row r="83">
      <c r="A83" s="6">
        <v>3.977333714E9</v>
      </c>
      <c r="B83" s="7">
        <v>42472.0</v>
      </c>
      <c r="C83" s="8">
        <f t="shared" si="1"/>
        <v>42472</v>
      </c>
      <c r="D83" s="6">
        <v>1.0</v>
      </c>
      <c r="E83" s="6">
        <v>274.0</v>
      </c>
      <c r="F83" s="6">
        <v>469.0</v>
      </c>
      <c r="G83" s="6">
        <f t="shared" si="2"/>
        <v>195</v>
      </c>
    </row>
    <row r="84">
      <c r="A84" s="6">
        <v>3.977333714E9</v>
      </c>
      <c r="B84" s="7">
        <v>42473.0</v>
      </c>
      <c r="C84" s="8">
        <f t="shared" si="1"/>
        <v>42473</v>
      </c>
      <c r="D84" s="6">
        <v>2.0</v>
      </c>
      <c r="E84" s="6">
        <v>295.0</v>
      </c>
      <c r="F84" s="6">
        <v>456.0</v>
      </c>
      <c r="G84" s="6">
        <f t="shared" si="2"/>
        <v>161</v>
      </c>
    </row>
    <row r="85">
      <c r="A85" s="6">
        <v>3.977333714E9</v>
      </c>
      <c r="B85" s="7">
        <v>42474.0</v>
      </c>
      <c r="C85" s="8">
        <f t="shared" si="1"/>
        <v>42474</v>
      </c>
      <c r="D85" s="6">
        <v>1.0</v>
      </c>
      <c r="E85" s="6">
        <v>291.0</v>
      </c>
      <c r="F85" s="6">
        <v>397.0</v>
      </c>
      <c r="G85" s="6">
        <f t="shared" si="2"/>
        <v>106</v>
      </c>
    </row>
    <row r="86">
      <c r="A86" s="6">
        <v>3.977333714E9</v>
      </c>
      <c r="B86" s="7">
        <v>42475.0</v>
      </c>
      <c r="C86" s="8">
        <f t="shared" si="1"/>
        <v>42475</v>
      </c>
      <c r="D86" s="6">
        <v>1.0</v>
      </c>
      <c r="E86" s="6">
        <v>424.0</v>
      </c>
      <c r="F86" s="6">
        <v>556.0</v>
      </c>
      <c r="G86" s="6">
        <f t="shared" si="2"/>
        <v>132</v>
      </c>
    </row>
    <row r="87">
      <c r="A87" s="6">
        <v>3.977333714E9</v>
      </c>
      <c r="B87" s="7">
        <v>42476.0</v>
      </c>
      <c r="C87" s="8">
        <f t="shared" si="1"/>
        <v>42476</v>
      </c>
      <c r="D87" s="6">
        <v>1.0</v>
      </c>
      <c r="E87" s="6">
        <v>283.0</v>
      </c>
      <c r="F87" s="6">
        <v>510.0</v>
      </c>
      <c r="G87" s="6">
        <f t="shared" si="2"/>
        <v>227</v>
      </c>
    </row>
    <row r="88">
      <c r="A88" s="6">
        <v>3.977333714E9</v>
      </c>
      <c r="B88" s="7">
        <v>42477.0</v>
      </c>
      <c r="C88" s="8">
        <f t="shared" si="1"/>
        <v>42477</v>
      </c>
      <c r="D88" s="6">
        <v>1.0</v>
      </c>
      <c r="E88" s="6">
        <v>381.0</v>
      </c>
      <c r="F88" s="6">
        <v>566.0</v>
      </c>
      <c r="G88" s="6">
        <f t="shared" si="2"/>
        <v>185</v>
      </c>
    </row>
    <row r="89">
      <c r="A89" s="6">
        <v>3.977333714E9</v>
      </c>
      <c r="B89" s="7">
        <v>42478.0</v>
      </c>
      <c r="C89" s="8">
        <f t="shared" si="1"/>
        <v>42478</v>
      </c>
      <c r="D89" s="6">
        <v>2.0</v>
      </c>
      <c r="E89" s="6">
        <v>412.0</v>
      </c>
      <c r="F89" s="6">
        <v>522.0</v>
      </c>
      <c r="G89" s="6">
        <f t="shared" si="2"/>
        <v>110</v>
      </c>
    </row>
    <row r="90">
      <c r="A90" s="6">
        <v>3.977333714E9</v>
      </c>
      <c r="B90" s="7">
        <v>42479.0</v>
      </c>
      <c r="C90" s="8">
        <f t="shared" si="1"/>
        <v>42479</v>
      </c>
      <c r="D90" s="6">
        <v>1.0</v>
      </c>
      <c r="E90" s="6">
        <v>219.0</v>
      </c>
      <c r="F90" s="6">
        <v>395.0</v>
      </c>
      <c r="G90" s="6">
        <f t="shared" si="2"/>
        <v>176</v>
      </c>
    </row>
    <row r="91">
      <c r="A91" s="6">
        <v>3.977333714E9</v>
      </c>
      <c r="B91" s="7">
        <v>42480.0</v>
      </c>
      <c r="C91" s="8">
        <f t="shared" si="1"/>
        <v>42480</v>
      </c>
      <c r="D91" s="6">
        <v>2.0</v>
      </c>
      <c r="E91" s="6">
        <v>152.0</v>
      </c>
      <c r="F91" s="6">
        <v>305.0</v>
      </c>
      <c r="G91" s="6">
        <f t="shared" si="2"/>
        <v>153</v>
      </c>
    </row>
    <row r="92">
      <c r="A92" s="6">
        <v>3.977333714E9</v>
      </c>
      <c r="B92" s="7">
        <v>42481.0</v>
      </c>
      <c r="C92" s="8">
        <f t="shared" si="1"/>
        <v>42481</v>
      </c>
      <c r="D92" s="6">
        <v>1.0</v>
      </c>
      <c r="E92" s="6">
        <v>332.0</v>
      </c>
      <c r="F92" s="6">
        <v>512.0</v>
      </c>
      <c r="G92" s="6">
        <f t="shared" si="2"/>
        <v>180</v>
      </c>
    </row>
    <row r="93">
      <c r="A93" s="6">
        <v>3.977333714E9</v>
      </c>
      <c r="B93" s="7">
        <v>42482.0</v>
      </c>
      <c r="C93" s="8">
        <f t="shared" si="1"/>
        <v>42482</v>
      </c>
      <c r="D93" s="6">
        <v>1.0</v>
      </c>
      <c r="E93" s="6">
        <v>355.0</v>
      </c>
      <c r="F93" s="6">
        <v>476.0</v>
      </c>
      <c r="G93" s="6">
        <f t="shared" si="2"/>
        <v>121</v>
      </c>
    </row>
    <row r="94">
      <c r="A94" s="6">
        <v>3.977333714E9</v>
      </c>
      <c r="B94" s="7">
        <v>42483.0</v>
      </c>
      <c r="C94" s="8">
        <f t="shared" si="1"/>
        <v>42483</v>
      </c>
      <c r="D94" s="6">
        <v>1.0</v>
      </c>
      <c r="E94" s="6">
        <v>235.0</v>
      </c>
      <c r="F94" s="6">
        <v>372.0</v>
      </c>
      <c r="G94" s="6">
        <f t="shared" si="2"/>
        <v>137</v>
      </c>
    </row>
    <row r="95">
      <c r="A95" s="6">
        <v>3.977333714E9</v>
      </c>
      <c r="B95" s="7">
        <v>42484.0</v>
      </c>
      <c r="C95" s="8">
        <f t="shared" si="1"/>
        <v>42484</v>
      </c>
      <c r="D95" s="6">
        <v>1.0</v>
      </c>
      <c r="E95" s="6">
        <v>310.0</v>
      </c>
      <c r="F95" s="6">
        <v>526.0</v>
      </c>
      <c r="G95" s="6">
        <f t="shared" si="2"/>
        <v>216</v>
      </c>
    </row>
    <row r="96">
      <c r="A96" s="6">
        <v>3.977333714E9</v>
      </c>
      <c r="B96" s="7">
        <v>42485.0</v>
      </c>
      <c r="C96" s="8">
        <f t="shared" si="1"/>
        <v>42485</v>
      </c>
      <c r="D96" s="6">
        <v>1.0</v>
      </c>
      <c r="E96" s="6">
        <v>262.0</v>
      </c>
      <c r="F96" s="6">
        <v>467.0</v>
      </c>
      <c r="G96" s="6">
        <f t="shared" si="2"/>
        <v>205</v>
      </c>
    </row>
    <row r="97">
      <c r="A97" s="6">
        <v>3.977333714E9</v>
      </c>
      <c r="B97" s="7">
        <v>42486.0</v>
      </c>
      <c r="C97" s="8">
        <f t="shared" si="1"/>
        <v>42486</v>
      </c>
      <c r="D97" s="6">
        <v>1.0</v>
      </c>
      <c r="E97" s="6">
        <v>250.0</v>
      </c>
      <c r="F97" s="6">
        <v>371.0</v>
      </c>
      <c r="G97" s="6">
        <f t="shared" si="2"/>
        <v>121</v>
      </c>
    </row>
    <row r="98">
      <c r="A98" s="6">
        <v>3.977333714E9</v>
      </c>
      <c r="B98" s="7">
        <v>42487.0</v>
      </c>
      <c r="C98" s="8">
        <f t="shared" si="1"/>
        <v>42487</v>
      </c>
      <c r="D98" s="6">
        <v>1.0</v>
      </c>
      <c r="E98" s="6">
        <v>349.0</v>
      </c>
      <c r="F98" s="6">
        <v>540.0</v>
      </c>
      <c r="G98" s="6">
        <f t="shared" si="2"/>
        <v>191</v>
      </c>
    </row>
    <row r="99">
      <c r="A99" s="6">
        <v>3.977333714E9</v>
      </c>
      <c r="B99" s="7">
        <v>42488.0</v>
      </c>
      <c r="C99" s="8">
        <f t="shared" si="1"/>
        <v>42488</v>
      </c>
      <c r="D99" s="6">
        <v>1.0</v>
      </c>
      <c r="E99" s="6">
        <v>261.0</v>
      </c>
      <c r="F99" s="6">
        <v>423.0</v>
      </c>
      <c r="G99" s="6">
        <f t="shared" si="2"/>
        <v>162</v>
      </c>
    </row>
    <row r="100">
      <c r="A100" s="6">
        <v>3.977333714E9</v>
      </c>
      <c r="B100" s="7">
        <v>42489.0</v>
      </c>
      <c r="C100" s="8">
        <f t="shared" si="1"/>
        <v>42489</v>
      </c>
      <c r="D100" s="6">
        <v>1.0</v>
      </c>
      <c r="E100" s="6">
        <v>333.0</v>
      </c>
      <c r="F100" s="6">
        <v>478.0</v>
      </c>
      <c r="G100" s="6">
        <f t="shared" si="2"/>
        <v>145</v>
      </c>
    </row>
    <row r="101">
      <c r="A101" s="6">
        <v>3.977333714E9</v>
      </c>
      <c r="B101" s="7">
        <v>42490.0</v>
      </c>
      <c r="C101" s="8">
        <f t="shared" si="1"/>
        <v>42490</v>
      </c>
      <c r="D101" s="6">
        <v>1.0</v>
      </c>
      <c r="E101" s="6">
        <v>237.0</v>
      </c>
      <c r="F101" s="6">
        <v>382.0</v>
      </c>
      <c r="G101" s="6">
        <f t="shared" si="2"/>
        <v>145</v>
      </c>
    </row>
    <row r="102">
      <c r="A102" s="6">
        <v>3.977333714E9</v>
      </c>
      <c r="B102" s="7">
        <v>42491.0</v>
      </c>
      <c r="C102" s="8">
        <f t="shared" si="1"/>
        <v>42491</v>
      </c>
      <c r="D102" s="6">
        <v>1.0</v>
      </c>
      <c r="E102" s="6">
        <v>383.0</v>
      </c>
      <c r="F102" s="6">
        <v>626.0</v>
      </c>
      <c r="G102" s="6">
        <f t="shared" si="2"/>
        <v>243</v>
      </c>
    </row>
    <row r="103">
      <c r="A103" s="6">
        <v>3.977333714E9</v>
      </c>
      <c r="B103" s="7">
        <v>42492.0</v>
      </c>
      <c r="C103" s="8">
        <f t="shared" si="1"/>
        <v>42492</v>
      </c>
      <c r="D103" s="6">
        <v>1.0</v>
      </c>
      <c r="E103" s="6">
        <v>230.0</v>
      </c>
      <c r="F103" s="6">
        <v>384.0</v>
      </c>
      <c r="G103" s="6">
        <f t="shared" si="2"/>
        <v>154</v>
      </c>
    </row>
    <row r="104">
      <c r="A104" s="6">
        <v>3.977333714E9</v>
      </c>
      <c r="B104" s="7">
        <v>42493.0</v>
      </c>
      <c r="C104" s="8">
        <f t="shared" si="1"/>
        <v>42493</v>
      </c>
      <c r="D104" s="6">
        <v>1.0</v>
      </c>
      <c r="E104" s="6">
        <v>292.0</v>
      </c>
      <c r="F104" s="6">
        <v>500.0</v>
      </c>
      <c r="G104" s="6">
        <f t="shared" si="2"/>
        <v>208</v>
      </c>
    </row>
    <row r="105">
      <c r="A105" s="6">
        <v>3.977333714E9</v>
      </c>
      <c r="B105" s="7">
        <v>42494.0</v>
      </c>
      <c r="C105" s="8">
        <f t="shared" si="1"/>
        <v>42494</v>
      </c>
      <c r="D105" s="6">
        <v>1.0</v>
      </c>
      <c r="E105" s="6">
        <v>213.0</v>
      </c>
      <c r="F105" s="6">
        <v>336.0</v>
      </c>
      <c r="G105" s="6">
        <f t="shared" si="2"/>
        <v>123</v>
      </c>
    </row>
    <row r="106">
      <c r="A106" s="6">
        <v>3.977333714E9</v>
      </c>
      <c r="B106" s="7">
        <v>42495.0</v>
      </c>
      <c r="C106" s="8">
        <f t="shared" si="1"/>
        <v>42495</v>
      </c>
      <c r="D106" s="6">
        <v>1.0</v>
      </c>
      <c r="E106" s="6">
        <v>318.0</v>
      </c>
      <c r="F106" s="6">
        <v>480.0</v>
      </c>
      <c r="G106" s="6">
        <f t="shared" si="2"/>
        <v>162</v>
      </c>
    </row>
    <row r="107">
      <c r="A107" s="6">
        <v>3.977333714E9</v>
      </c>
      <c r="B107" s="7">
        <v>42496.0</v>
      </c>
      <c r="C107" s="8">
        <f t="shared" si="1"/>
        <v>42496</v>
      </c>
      <c r="D107" s="6">
        <v>1.0</v>
      </c>
      <c r="E107" s="6">
        <v>323.0</v>
      </c>
      <c r="F107" s="6">
        <v>512.0</v>
      </c>
      <c r="G107" s="6">
        <f t="shared" si="2"/>
        <v>189</v>
      </c>
    </row>
    <row r="108">
      <c r="A108" s="6">
        <v>3.977333714E9</v>
      </c>
      <c r="B108" s="7">
        <v>42497.0</v>
      </c>
      <c r="C108" s="8">
        <f t="shared" si="1"/>
        <v>42497</v>
      </c>
      <c r="D108" s="6">
        <v>1.0</v>
      </c>
      <c r="E108" s="6">
        <v>237.0</v>
      </c>
      <c r="F108" s="6">
        <v>443.0</v>
      </c>
      <c r="G108" s="6">
        <f t="shared" si="2"/>
        <v>206</v>
      </c>
    </row>
    <row r="109">
      <c r="A109" s="6">
        <v>3.977333714E9</v>
      </c>
      <c r="B109" s="7">
        <v>42498.0</v>
      </c>
      <c r="C109" s="8">
        <f t="shared" si="1"/>
        <v>42498</v>
      </c>
      <c r="D109" s="6">
        <v>2.0</v>
      </c>
      <c r="E109" s="6">
        <v>259.0</v>
      </c>
      <c r="F109" s="6">
        <v>456.0</v>
      </c>
      <c r="G109" s="6">
        <f t="shared" si="2"/>
        <v>197</v>
      </c>
    </row>
    <row r="110">
      <c r="A110" s="6">
        <v>3.977333714E9</v>
      </c>
      <c r="B110" s="7">
        <v>42500.0</v>
      </c>
      <c r="C110" s="8">
        <f t="shared" si="1"/>
        <v>42500</v>
      </c>
      <c r="D110" s="6">
        <v>1.0</v>
      </c>
      <c r="E110" s="6">
        <v>312.0</v>
      </c>
      <c r="F110" s="6">
        <v>452.0</v>
      </c>
      <c r="G110" s="6">
        <f t="shared" si="2"/>
        <v>140</v>
      </c>
    </row>
    <row r="111">
      <c r="A111" s="6">
        <v>4.02033265E9</v>
      </c>
      <c r="B111" s="7">
        <v>42472.0</v>
      </c>
      <c r="C111" s="8">
        <f t="shared" si="1"/>
        <v>42472</v>
      </c>
      <c r="D111" s="6">
        <v>1.0</v>
      </c>
      <c r="E111" s="6">
        <v>501.0</v>
      </c>
      <c r="F111" s="6">
        <v>541.0</v>
      </c>
      <c r="G111" s="6">
        <f t="shared" si="2"/>
        <v>40</v>
      </c>
    </row>
    <row r="112">
      <c r="A112" s="6">
        <v>4.02033265E9</v>
      </c>
      <c r="B112" s="7">
        <v>42476.0</v>
      </c>
      <c r="C112" s="8">
        <f t="shared" si="1"/>
        <v>42476</v>
      </c>
      <c r="D112" s="6">
        <v>1.0</v>
      </c>
      <c r="E112" s="6">
        <v>77.0</v>
      </c>
      <c r="F112" s="6">
        <v>77.0</v>
      </c>
      <c r="G112" s="6">
        <f t="shared" si="2"/>
        <v>0</v>
      </c>
    </row>
    <row r="113">
      <c r="A113" s="6">
        <v>4.02033265E9</v>
      </c>
      <c r="B113" s="7">
        <v>42493.0</v>
      </c>
      <c r="C113" s="8">
        <f t="shared" si="1"/>
        <v>42493</v>
      </c>
      <c r="D113" s="6">
        <v>1.0</v>
      </c>
      <c r="E113" s="6">
        <v>322.0</v>
      </c>
      <c r="F113" s="6">
        <v>332.0</v>
      </c>
      <c r="G113" s="6">
        <f t="shared" si="2"/>
        <v>10</v>
      </c>
    </row>
    <row r="114">
      <c r="A114" s="6">
        <v>4.02033265E9</v>
      </c>
      <c r="B114" s="7">
        <v>42494.0</v>
      </c>
      <c r="C114" s="8">
        <f t="shared" si="1"/>
        <v>42494</v>
      </c>
      <c r="D114" s="6">
        <v>1.0</v>
      </c>
      <c r="E114" s="6">
        <v>478.0</v>
      </c>
      <c r="F114" s="6">
        <v>536.0</v>
      </c>
      <c r="G114" s="6">
        <f t="shared" si="2"/>
        <v>58</v>
      </c>
    </row>
    <row r="115">
      <c r="A115" s="6">
        <v>4.02033265E9</v>
      </c>
      <c r="B115" s="7">
        <v>42495.0</v>
      </c>
      <c r="C115" s="8">
        <f t="shared" si="1"/>
        <v>42495</v>
      </c>
      <c r="D115" s="6">
        <v>1.0</v>
      </c>
      <c r="E115" s="6">
        <v>226.0</v>
      </c>
      <c r="F115" s="6">
        <v>248.0</v>
      </c>
      <c r="G115" s="6">
        <f t="shared" si="2"/>
        <v>22</v>
      </c>
    </row>
    <row r="116">
      <c r="A116" s="6">
        <v>4.02033265E9</v>
      </c>
      <c r="B116" s="7">
        <v>42496.0</v>
      </c>
      <c r="C116" s="8">
        <f t="shared" si="1"/>
        <v>42496</v>
      </c>
      <c r="D116" s="6">
        <v>1.0</v>
      </c>
      <c r="E116" s="6">
        <v>385.0</v>
      </c>
      <c r="F116" s="6">
        <v>408.0</v>
      </c>
      <c r="G116" s="6">
        <f t="shared" si="2"/>
        <v>23</v>
      </c>
    </row>
    <row r="117">
      <c r="A117" s="6">
        <v>4.02033265E9</v>
      </c>
      <c r="B117" s="7">
        <v>42498.0</v>
      </c>
      <c r="C117" s="8">
        <f t="shared" si="1"/>
        <v>42498</v>
      </c>
      <c r="D117" s="6">
        <v>1.0</v>
      </c>
      <c r="E117" s="6">
        <v>364.0</v>
      </c>
      <c r="F117" s="6">
        <v>402.0</v>
      </c>
      <c r="G117" s="6">
        <f t="shared" si="2"/>
        <v>38</v>
      </c>
    </row>
    <row r="118">
      <c r="A118" s="6">
        <v>4.02033265E9</v>
      </c>
      <c r="B118" s="7">
        <v>42500.0</v>
      </c>
      <c r="C118" s="8">
        <f t="shared" si="1"/>
        <v>42500</v>
      </c>
      <c r="D118" s="6">
        <v>1.0</v>
      </c>
      <c r="E118" s="6">
        <v>442.0</v>
      </c>
      <c r="F118" s="6">
        <v>494.0</v>
      </c>
      <c r="G118" s="6">
        <f t="shared" si="2"/>
        <v>52</v>
      </c>
    </row>
    <row r="119">
      <c r="A119" s="6">
        <v>4.319703577E9</v>
      </c>
      <c r="B119" s="7">
        <v>42474.0</v>
      </c>
      <c r="C119" s="8">
        <f t="shared" si="1"/>
        <v>42474</v>
      </c>
      <c r="D119" s="6">
        <v>1.0</v>
      </c>
      <c r="E119" s="6">
        <v>535.0</v>
      </c>
      <c r="F119" s="6">
        <v>557.0</v>
      </c>
      <c r="G119" s="6">
        <f t="shared" si="2"/>
        <v>22</v>
      </c>
    </row>
    <row r="120">
      <c r="A120" s="6">
        <v>4.319703577E9</v>
      </c>
      <c r="B120" s="7">
        <v>42475.0</v>
      </c>
      <c r="C120" s="8">
        <f t="shared" si="1"/>
        <v>42475</v>
      </c>
      <c r="D120" s="6">
        <v>1.0</v>
      </c>
      <c r="E120" s="6">
        <v>465.0</v>
      </c>
      <c r="F120" s="6">
        <v>491.0</v>
      </c>
      <c r="G120" s="6">
        <f t="shared" si="2"/>
        <v>26</v>
      </c>
    </row>
    <row r="121">
      <c r="A121" s="6">
        <v>4.319703577E9</v>
      </c>
      <c r="B121" s="7">
        <v>42476.0</v>
      </c>
      <c r="C121" s="8">
        <f t="shared" si="1"/>
        <v>42476</v>
      </c>
      <c r="D121" s="6">
        <v>1.0</v>
      </c>
      <c r="E121" s="6">
        <v>506.0</v>
      </c>
      <c r="F121" s="6">
        <v>522.0</v>
      </c>
      <c r="G121" s="6">
        <f t="shared" si="2"/>
        <v>16</v>
      </c>
    </row>
    <row r="122">
      <c r="A122" s="6">
        <v>4.319703577E9</v>
      </c>
      <c r="B122" s="7">
        <v>42478.0</v>
      </c>
      <c r="C122" s="8">
        <f t="shared" si="1"/>
        <v>42478</v>
      </c>
      <c r="D122" s="6">
        <v>1.0</v>
      </c>
      <c r="E122" s="6">
        <v>515.0</v>
      </c>
      <c r="F122" s="6">
        <v>551.0</v>
      </c>
      <c r="G122" s="6">
        <f t="shared" si="2"/>
        <v>36</v>
      </c>
    </row>
    <row r="123">
      <c r="A123" s="6">
        <v>4.319703577E9</v>
      </c>
      <c r="B123" s="7">
        <v>42479.0</v>
      </c>
      <c r="C123" s="8">
        <f t="shared" si="1"/>
        <v>42479</v>
      </c>
      <c r="D123" s="6">
        <v>2.0</v>
      </c>
      <c r="E123" s="6">
        <v>461.0</v>
      </c>
      <c r="F123" s="6">
        <v>498.0</v>
      </c>
      <c r="G123" s="6">
        <f t="shared" si="2"/>
        <v>37</v>
      </c>
    </row>
    <row r="124">
      <c r="A124" s="6">
        <v>4.319703577E9</v>
      </c>
      <c r="B124" s="7">
        <v>42480.0</v>
      </c>
      <c r="C124" s="8">
        <f t="shared" si="1"/>
        <v>42480</v>
      </c>
      <c r="D124" s="6">
        <v>1.0</v>
      </c>
      <c r="E124" s="6">
        <v>523.0</v>
      </c>
      <c r="F124" s="6">
        <v>543.0</v>
      </c>
      <c r="G124" s="6">
        <f t="shared" si="2"/>
        <v>20</v>
      </c>
    </row>
    <row r="125">
      <c r="A125" s="6">
        <v>4.319703577E9</v>
      </c>
      <c r="B125" s="7">
        <v>42481.0</v>
      </c>
      <c r="C125" s="8">
        <f t="shared" si="1"/>
        <v>42481</v>
      </c>
      <c r="D125" s="6">
        <v>1.0</v>
      </c>
      <c r="E125" s="6">
        <v>59.0</v>
      </c>
      <c r="F125" s="6">
        <v>65.0</v>
      </c>
      <c r="G125" s="6">
        <f t="shared" si="2"/>
        <v>6</v>
      </c>
    </row>
    <row r="126">
      <c r="A126" s="6">
        <v>4.319703577E9</v>
      </c>
      <c r="B126" s="7">
        <v>42482.0</v>
      </c>
      <c r="C126" s="8">
        <f t="shared" si="1"/>
        <v>42482</v>
      </c>
      <c r="D126" s="6">
        <v>1.0</v>
      </c>
      <c r="E126" s="6">
        <v>533.0</v>
      </c>
      <c r="F126" s="6">
        <v>550.0</v>
      </c>
      <c r="G126" s="6">
        <f t="shared" si="2"/>
        <v>17</v>
      </c>
    </row>
    <row r="127">
      <c r="A127" s="6">
        <v>4.319703577E9</v>
      </c>
      <c r="B127" s="7">
        <v>42483.0</v>
      </c>
      <c r="C127" s="8">
        <f t="shared" si="1"/>
        <v>42483</v>
      </c>
      <c r="D127" s="6">
        <v>1.0</v>
      </c>
      <c r="E127" s="6">
        <v>692.0</v>
      </c>
      <c r="F127" s="6">
        <v>722.0</v>
      </c>
      <c r="G127" s="6">
        <f t="shared" si="2"/>
        <v>30</v>
      </c>
    </row>
    <row r="128">
      <c r="A128" s="6">
        <v>4.319703577E9</v>
      </c>
      <c r="B128" s="7">
        <v>42484.0</v>
      </c>
      <c r="C128" s="8">
        <f t="shared" si="1"/>
        <v>42484</v>
      </c>
      <c r="D128" s="6">
        <v>1.0</v>
      </c>
      <c r="E128" s="6">
        <v>467.0</v>
      </c>
      <c r="F128" s="6">
        <v>501.0</v>
      </c>
      <c r="G128" s="6">
        <f t="shared" si="2"/>
        <v>34</v>
      </c>
    </row>
    <row r="129">
      <c r="A129" s="6">
        <v>4.319703577E9</v>
      </c>
      <c r="B129" s="7">
        <v>42485.0</v>
      </c>
      <c r="C129" s="8">
        <f t="shared" si="1"/>
        <v>42485</v>
      </c>
      <c r="D129" s="6">
        <v>1.0</v>
      </c>
      <c r="E129" s="6">
        <v>488.0</v>
      </c>
      <c r="F129" s="6">
        <v>506.0</v>
      </c>
      <c r="G129" s="6">
        <f t="shared" si="2"/>
        <v>18</v>
      </c>
    </row>
    <row r="130">
      <c r="A130" s="6">
        <v>4.319703577E9</v>
      </c>
      <c r="B130" s="7">
        <v>42486.0</v>
      </c>
      <c r="C130" s="8">
        <f t="shared" si="1"/>
        <v>42486</v>
      </c>
      <c r="D130" s="6">
        <v>1.0</v>
      </c>
      <c r="E130" s="6">
        <v>505.0</v>
      </c>
      <c r="F130" s="6">
        <v>516.0</v>
      </c>
      <c r="G130" s="6">
        <f t="shared" si="2"/>
        <v>11</v>
      </c>
    </row>
    <row r="131">
      <c r="A131" s="6">
        <v>4.319703577E9</v>
      </c>
      <c r="B131" s="7">
        <v>42487.0</v>
      </c>
      <c r="C131" s="8">
        <f t="shared" si="1"/>
        <v>42487</v>
      </c>
      <c r="D131" s="6">
        <v>1.0</v>
      </c>
      <c r="E131" s="6">
        <v>286.0</v>
      </c>
      <c r="F131" s="6">
        <v>307.0</v>
      </c>
      <c r="G131" s="6">
        <f t="shared" si="2"/>
        <v>21</v>
      </c>
    </row>
    <row r="132">
      <c r="A132" s="6">
        <v>4.319703577E9</v>
      </c>
      <c r="B132" s="7">
        <v>42488.0</v>
      </c>
      <c r="C132" s="8">
        <f t="shared" si="1"/>
        <v>42488</v>
      </c>
      <c r="D132" s="6">
        <v>1.0</v>
      </c>
      <c r="E132" s="6">
        <v>497.0</v>
      </c>
      <c r="F132" s="6">
        <v>522.0</v>
      </c>
      <c r="G132" s="6">
        <f t="shared" si="2"/>
        <v>25</v>
      </c>
    </row>
    <row r="133">
      <c r="A133" s="6">
        <v>4.319703577E9</v>
      </c>
      <c r="B133" s="7">
        <v>42489.0</v>
      </c>
      <c r="C133" s="8">
        <f t="shared" si="1"/>
        <v>42489</v>
      </c>
      <c r="D133" s="6">
        <v>1.0</v>
      </c>
      <c r="E133" s="6">
        <v>523.0</v>
      </c>
      <c r="F133" s="6">
        <v>546.0</v>
      </c>
      <c r="G133" s="6">
        <f t="shared" si="2"/>
        <v>23</v>
      </c>
    </row>
    <row r="134">
      <c r="A134" s="6">
        <v>4.319703577E9</v>
      </c>
      <c r="B134" s="7">
        <v>42490.0</v>
      </c>
      <c r="C134" s="8">
        <f t="shared" si="1"/>
        <v>42490</v>
      </c>
      <c r="D134" s="6">
        <v>1.0</v>
      </c>
      <c r="E134" s="6">
        <v>490.0</v>
      </c>
      <c r="F134" s="6">
        <v>516.0</v>
      </c>
      <c r="G134" s="6">
        <f t="shared" si="2"/>
        <v>26</v>
      </c>
    </row>
    <row r="135">
      <c r="A135" s="6">
        <v>4.319703577E9</v>
      </c>
      <c r="B135" s="7">
        <v>42491.0</v>
      </c>
      <c r="C135" s="8">
        <f t="shared" si="1"/>
        <v>42491</v>
      </c>
      <c r="D135" s="6">
        <v>1.0</v>
      </c>
      <c r="E135" s="6">
        <v>484.0</v>
      </c>
      <c r="F135" s="6">
        <v>500.0</v>
      </c>
      <c r="G135" s="6">
        <f t="shared" si="2"/>
        <v>16</v>
      </c>
    </row>
    <row r="136">
      <c r="A136" s="6">
        <v>4.319703577E9</v>
      </c>
      <c r="B136" s="7">
        <v>42492.0</v>
      </c>
      <c r="C136" s="8">
        <f t="shared" si="1"/>
        <v>42492</v>
      </c>
      <c r="D136" s="6">
        <v>1.0</v>
      </c>
      <c r="E136" s="6">
        <v>478.0</v>
      </c>
      <c r="F136" s="6">
        <v>506.0</v>
      </c>
      <c r="G136" s="6">
        <f t="shared" si="2"/>
        <v>28</v>
      </c>
    </row>
    <row r="137">
      <c r="A137" s="6">
        <v>4.319703577E9</v>
      </c>
      <c r="B137" s="7">
        <v>42493.0</v>
      </c>
      <c r="C137" s="8">
        <f t="shared" si="1"/>
        <v>42493</v>
      </c>
      <c r="D137" s="6">
        <v>1.0</v>
      </c>
      <c r="E137" s="6">
        <v>474.0</v>
      </c>
      <c r="F137" s="6">
        <v>512.0</v>
      </c>
      <c r="G137" s="6">
        <f t="shared" si="2"/>
        <v>38</v>
      </c>
    </row>
    <row r="138">
      <c r="A138" s="6">
        <v>4.319703577E9</v>
      </c>
      <c r="B138" s="7">
        <v>42496.0</v>
      </c>
      <c r="C138" s="8">
        <f t="shared" si="1"/>
        <v>42496</v>
      </c>
      <c r="D138" s="6">
        <v>1.0</v>
      </c>
      <c r="E138" s="6">
        <v>450.0</v>
      </c>
      <c r="F138" s="6">
        <v>491.0</v>
      </c>
      <c r="G138" s="6">
        <f t="shared" si="2"/>
        <v>41</v>
      </c>
    </row>
    <row r="139">
      <c r="A139" s="6">
        <v>4.319703577E9</v>
      </c>
      <c r="B139" s="7">
        <v>42497.0</v>
      </c>
      <c r="C139" s="8">
        <f t="shared" si="1"/>
        <v>42497</v>
      </c>
      <c r="D139" s="6">
        <v>1.0</v>
      </c>
      <c r="E139" s="6">
        <v>507.0</v>
      </c>
      <c r="F139" s="6">
        <v>530.0</v>
      </c>
      <c r="G139" s="6">
        <f t="shared" si="2"/>
        <v>23</v>
      </c>
    </row>
    <row r="140">
      <c r="A140" s="6">
        <v>4.319703577E9</v>
      </c>
      <c r="B140" s="7">
        <v>42498.0</v>
      </c>
      <c r="C140" s="8">
        <f t="shared" si="1"/>
        <v>42498</v>
      </c>
      <c r="D140" s="6">
        <v>1.0</v>
      </c>
      <c r="E140" s="6">
        <v>602.0</v>
      </c>
      <c r="F140" s="6">
        <v>638.0</v>
      </c>
      <c r="G140" s="6">
        <f t="shared" si="2"/>
        <v>36</v>
      </c>
    </row>
    <row r="141">
      <c r="A141" s="6">
        <v>4.319703577E9</v>
      </c>
      <c r="B141" s="7">
        <v>42499.0</v>
      </c>
      <c r="C141" s="8">
        <f t="shared" si="1"/>
        <v>42499</v>
      </c>
      <c r="D141" s="6">
        <v>1.0</v>
      </c>
      <c r="E141" s="6">
        <v>535.0</v>
      </c>
      <c r="F141" s="6">
        <v>565.0</v>
      </c>
      <c r="G141" s="6">
        <f t="shared" si="2"/>
        <v>30</v>
      </c>
    </row>
    <row r="142">
      <c r="A142" s="6">
        <v>4.319703577E9</v>
      </c>
      <c r="B142" s="7">
        <v>42500.0</v>
      </c>
      <c r="C142" s="8">
        <f t="shared" si="1"/>
        <v>42500</v>
      </c>
      <c r="D142" s="6">
        <v>1.0</v>
      </c>
      <c r="E142" s="6">
        <v>487.0</v>
      </c>
      <c r="F142" s="6">
        <v>517.0</v>
      </c>
      <c r="G142" s="6">
        <f t="shared" si="2"/>
        <v>30</v>
      </c>
    </row>
    <row r="143">
      <c r="A143" s="6">
        <v>4.319703577E9</v>
      </c>
      <c r="B143" s="7">
        <v>42501.0</v>
      </c>
      <c r="C143" s="8">
        <f t="shared" si="1"/>
        <v>42501</v>
      </c>
      <c r="D143" s="6">
        <v>1.0</v>
      </c>
      <c r="E143" s="6">
        <v>529.0</v>
      </c>
      <c r="F143" s="6">
        <v>558.0</v>
      </c>
      <c r="G143" s="6">
        <f t="shared" si="2"/>
        <v>29</v>
      </c>
    </row>
    <row r="144">
      <c r="A144" s="6">
        <v>4.319703577E9</v>
      </c>
      <c r="B144" s="7">
        <v>42502.0</v>
      </c>
      <c r="C144" s="8">
        <f t="shared" si="1"/>
        <v>42502</v>
      </c>
      <c r="D144" s="6">
        <v>1.0</v>
      </c>
      <c r="E144" s="6">
        <v>302.0</v>
      </c>
      <c r="F144" s="6">
        <v>321.0</v>
      </c>
      <c r="G144" s="6">
        <f t="shared" si="2"/>
        <v>19</v>
      </c>
    </row>
    <row r="145">
      <c r="A145" s="6">
        <v>4.388161847E9</v>
      </c>
      <c r="B145" s="7">
        <v>42475.0</v>
      </c>
      <c r="C145" s="8">
        <f t="shared" si="1"/>
        <v>42475</v>
      </c>
      <c r="D145" s="6">
        <v>1.0</v>
      </c>
      <c r="E145" s="6">
        <v>499.0</v>
      </c>
      <c r="F145" s="6">
        <v>526.0</v>
      </c>
      <c r="G145" s="6">
        <f t="shared" si="2"/>
        <v>27</v>
      </c>
    </row>
    <row r="146">
      <c r="A146" s="6">
        <v>4.388161847E9</v>
      </c>
      <c r="B146" s="7">
        <v>42476.0</v>
      </c>
      <c r="C146" s="8">
        <f t="shared" si="1"/>
        <v>42476</v>
      </c>
      <c r="D146" s="6">
        <v>2.0</v>
      </c>
      <c r="E146" s="6">
        <v>426.0</v>
      </c>
      <c r="F146" s="6">
        <v>448.0</v>
      </c>
      <c r="G146" s="6">
        <f t="shared" si="2"/>
        <v>22</v>
      </c>
    </row>
    <row r="147">
      <c r="A147" s="6">
        <v>4.388161847E9</v>
      </c>
      <c r="B147" s="7">
        <v>42477.0</v>
      </c>
      <c r="C147" s="8">
        <f t="shared" si="1"/>
        <v>42477</v>
      </c>
      <c r="D147" s="6">
        <v>2.0</v>
      </c>
      <c r="E147" s="6">
        <v>619.0</v>
      </c>
      <c r="F147" s="6">
        <v>641.0</v>
      </c>
      <c r="G147" s="6">
        <f t="shared" si="2"/>
        <v>22</v>
      </c>
    </row>
    <row r="148">
      <c r="A148" s="6">
        <v>4.388161847E9</v>
      </c>
      <c r="B148" s="7">
        <v>42478.0</v>
      </c>
      <c r="C148" s="8">
        <f t="shared" si="1"/>
        <v>42478</v>
      </c>
      <c r="D148" s="6">
        <v>1.0</v>
      </c>
      <c r="E148" s="6">
        <v>99.0</v>
      </c>
      <c r="F148" s="6">
        <v>104.0</v>
      </c>
      <c r="G148" s="6">
        <f t="shared" si="2"/>
        <v>5</v>
      </c>
    </row>
    <row r="149">
      <c r="A149" s="6">
        <v>4.388161847E9</v>
      </c>
      <c r="B149" s="7">
        <v>42479.0</v>
      </c>
      <c r="C149" s="8">
        <f t="shared" si="1"/>
        <v>42479</v>
      </c>
      <c r="D149" s="6">
        <v>1.0</v>
      </c>
      <c r="E149" s="6">
        <v>329.0</v>
      </c>
      <c r="F149" s="6">
        <v>338.0</v>
      </c>
      <c r="G149" s="6">
        <f t="shared" si="2"/>
        <v>9</v>
      </c>
    </row>
    <row r="150">
      <c r="A150" s="6">
        <v>4.388161847E9</v>
      </c>
      <c r="B150" s="7">
        <v>42480.0</v>
      </c>
      <c r="C150" s="8">
        <f t="shared" si="1"/>
        <v>42480</v>
      </c>
      <c r="D150" s="6">
        <v>1.0</v>
      </c>
      <c r="E150" s="6">
        <v>421.0</v>
      </c>
      <c r="F150" s="6">
        <v>451.0</v>
      </c>
      <c r="G150" s="6">
        <f t="shared" si="2"/>
        <v>30</v>
      </c>
    </row>
    <row r="151">
      <c r="A151" s="6">
        <v>4.388161847E9</v>
      </c>
      <c r="B151" s="7">
        <v>42481.0</v>
      </c>
      <c r="C151" s="8">
        <f t="shared" si="1"/>
        <v>42481</v>
      </c>
      <c r="D151" s="6">
        <v>1.0</v>
      </c>
      <c r="E151" s="6">
        <v>442.0</v>
      </c>
      <c r="F151" s="6">
        <v>458.0</v>
      </c>
      <c r="G151" s="6">
        <f t="shared" si="2"/>
        <v>16</v>
      </c>
    </row>
    <row r="152">
      <c r="A152" s="6">
        <v>4.388161847E9</v>
      </c>
      <c r="B152" s="7">
        <v>42482.0</v>
      </c>
      <c r="C152" s="8">
        <f t="shared" si="1"/>
        <v>42482</v>
      </c>
      <c r="D152" s="6">
        <v>1.0</v>
      </c>
      <c r="E152" s="6">
        <v>82.0</v>
      </c>
      <c r="F152" s="6">
        <v>85.0</v>
      </c>
      <c r="G152" s="6">
        <f t="shared" si="2"/>
        <v>3</v>
      </c>
    </row>
    <row r="153">
      <c r="A153" s="6">
        <v>4.388161847E9</v>
      </c>
      <c r="B153" s="7">
        <v>42483.0</v>
      </c>
      <c r="C153" s="8">
        <f t="shared" si="1"/>
        <v>42483</v>
      </c>
      <c r="D153" s="6">
        <v>1.0</v>
      </c>
      <c r="E153" s="6">
        <v>478.0</v>
      </c>
      <c r="F153" s="6">
        <v>501.0</v>
      </c>
      <c r="G153" s="6">
        <f t="shared" si="2"/>
        <v>23</v>
      </c>
    </row>
    <row r="154">
      <c r="A154" s="6">
        <v>4.388161847E9</v>
      </c>
      <c r="B154" s="7">
        <v>42484.0</v>
      </c>
      <c r="C154" s="8">
        <f t="shared" si="1"/>
        <v>42484</v>
      </c>
      <c r="D154" s="6">
        <v>3.0</v>
      </c>
      <c r="E154" s="6">
        <v>552.0</v>
      </c>
      <c r="F154" s="6">
        <v>595.0</v>
      </c>
      <c r="G154" s="6">
        <f t="shared" si="2"/>
        <v>43</v>
      </c>
    </row>
    <row r="155">
      <c r="A155" s="6">
        <v>4.388161847E9</v>
      </c>
      <c r="B155" s="7">
        <v>42486.0</v>
      </c>
      <c r="C155" s="8">
        <f t="shared" si="1"/>
        <v>42486</v>
      </c>
      <c r="D155" s="6">
        <v>1.0</v>
      </c>
      <c r="E155" s="6">
        <v>319.0</v>
      </c>
      <c r="F155" s="6">
        <v>346.0</v>
      </c>
      <c r="G155" s="6">
        <f t="shared" si="2"/>
        <v>27</v>
      </c>
    </row>
    <row r="156">
      <c r="A156" s="6">
        <v>4.388161847E9</v>
      </c>
      <c r="B156" s="7">
        <v>42487.0</v>
      </c>
      <c r="C156" s="8">
        <f t="shared" si="1"/>
        <v>42487</v>
      </c>
      <c r="D156" s="6">
        <v>1.0</v>
      </c>
      <c r="E156" s="6">
        <v>439.0</v>
      </c>
      <c r="F156" s="6">
        <v>500.0</v>
      </c>
      <c r="G156" s="6">
        <f t="shared" si="2"/>
        <v>61</v>
      </c>
    </row>
    <row r="157">
      <c r="A157" s="6">
        <v>4.388161847E9</v>
      </c>
      <c r="B157" s="7">
        <v>42488.0</v>
      </c>
      <c r="C157" s="8">
        <f t="shared" si="1"/>
        <v>42488</v>
      </c>
      <c r="D157" s="6">
        <v>1.0</v>
      </c>
      <c r="E157" s="6">
        <v>428.0</v>
      </c>
      <c r="F157" s="6">
        <v>458.0</v>
      </c>
      <c r="G157" s="6">
        <f t="shared" si="2"/>
        <v>30</v>
      </c>
    </row>
    <row r="158">
      <c r="A158" s="6">
        <v>4.388161847E9</v>
      </c>
      <c r="B158" s="7">
        <v>42490.0</v>
      </c>
      <c r="C158" s="8">
        <f t="shared" si="1"/>
        <v>42490</v>
      </c>
      <c r="D158" s="6">
        <v>2.0</v>
      </c>
      <c r="E158" s="6">
        <v>409.0</v>
      </c>
      <c r="F158" s="6">
        <v>430.0</v>
      </c>
      <c r="G158" s="6">
        <f t="shared" si="2"/>
        <v>21</v>
      </c>
    </row>
    <row r="159">
      <c r="A159" s="6">
        <v>4.388161847E9</v>
      </c>
      <c r="B159" s="7">
        <v>42491.0</v>
      </c>
      <c r="C159" s="8">
        <f t="shared" si="1"/>
        <v>42491</v>
      </c>
      <c r="D159" s="6">
        <v>1.0</v>
      </c>
      <c r="E159" s="6">
        <v>547.0</v>
      </c>
      <c r="F159" s="6">
        <v>597.0</v>
      </c>
      <c r="G159" s="6">
        <f t="shared" si="2"/>
        <v>50</v>
      </c>
    </row>
    <row r="160">
      <c r="A160" s="6">
        <v>4.388161847E9</v>
      </c>
      <c r="B160" s="7">
        <v>42492.0</v>
      </c>
      <c r="C160" s="8">
        <f t="shared" si="1"/>
        <v>42492</v>
      </c>
      <c r="D160" s="6">
        <v>2.0</v>
      </c>
      <c r="E160" s="6">
        <v>368.0</v>
      </c>
      <c r="F160" s="6">
        <v>376.0</v>
      </c>
      <c r="G160" s="6">
        <f t="shared" si="2"/>
        <v>8</v>
      </c>
    </row>
    <row r="161">
      <c r="A161" s="6">
        <v>4.388161847E9</v>
      </c>
      <c r="B161" s="7">
        <v>42494.0</v>
      </c>
      <c r="C161" s="8">
        <f t="shared" si="1"/>
        <v>42494</v>
      </c>
      <c r="D161" s="6">
        <v>1.0</v>
      </c>
      <c r="E161" s="6">
        <v>390.0</v>
      </c>
      <c r="F161" s="6">
        <v>414.0</v>
      </c>
      <c r="G161" s="6">
        <f t="shared" si="2"/>
        <v>24</v>
      </c>
    </row>
    <row r="162">
      <c r="A162" s="6">
        <v>4.388161847E9</v>
      </c>
      <c r="B162" s="7">
        <v>42495.0</v>
      </c>
      <c r="C162" s="8">
        <f t="shared" si="1"/>
        <v>42495</v>
      </c>
      <c r="D162" s="6">
        <v>1.0</v>
      </c>
      <c r="E162" s="6">
        <v>471.0</v>
      </c>
      <c r="F162" s="6">
        <v>495.0</v>
      </c>
      <c r="G162" s="6">
        <f t="shared" si="2"/>
        <v>24</v>
      </c>
    </row>
    <row r="163">
      <c r="A163" s="6">
        <v>4.388161847E9</v>
      </c>
      <c r="B163" s="7">
        <v>42495.0</v>
      </c>
      <c r="C163" s="8">
        <f t="shared" si="1"/>
        <v>42495</v>
      </c>
      <c r="D163" s="6">
        <v>1.0</v>
      </c>
      <c r="E163" s="6">
        <v>471.0</v>
      </c>
      <c r="F163" s="6">
        <v>495.0</v>
      </c>
      <c r="G163" s="6">
        <f t="shared" si="2"/>
        <v>24</v>
      </c>
    </row>
    <row r="164">
      <c r="A164" s="6">
        <v>4.388161847E9</v>
      </c>
      <c r="B164" s="7">
        <v>42497.0</v>
      </c>
      <c r="C164" s="8">
        <f t="shared" si="1"/>
        <v>42497</v>
      </c>
      <c r="D164" s="6">
        <v>1.0</v>
      </c>
      <c r="E164" s="6">
        <v>472.0</v>
      </c>
      <c r="F164" s="6">
        <v>496.0</v>
      </c>
      <c r="G164" s="6">
        <f t="shared" si="2"/>
        <v>24</v>
      </c>
    </row>
    <row r="165">
      <c r="A165" s="6">
        <v>4.388161847E9</v>
      </c>
      <c r="B165" s="7">
        <v>42498.0</v>
      </c>
      <c r="C165" s="8">
        <f t="shared" si="1"/>
        <v>42498</v>
      </c>
      <c r="D165" s="6">
        <v>2.0</v>
      </c>
      <c r="E165" s="6">
        <v>529.0</v>
      </c>
      <c r="F165" s="6">
        <v>541.0</v>
      </c>
      <c r="G165" s="6">
        <f t="shared" si="2"/>
        <v>12</v>
      </c>
    </row>
    <row r="166">
      <c r="A166" s="6">
        <v>4.388161847E9</v>
      </c>
      <c r="B166" s="7">
        <v>42499.0</v>
      </c>
      <c r="C166" s="8">
        <f t="shared" si="1"/>
        <v>42499</v>
      </c>
      <c r="D166" s="6">
        <v>1.0</v>
      </c>
      <c r="E166" s="6">
        <v>62.0</v>
      </c>
      <c r="F166" s="6">
        <v>65.0</v>
      </c>
      <c r="G166" s="6">
        <f t="shared" si="2"/>
        <v>3</v>
      </c>
    </row>
    <row r="167">
      <c r="A167" s="6">
        <v>4.388161847E9</v>
      </c>
      <c r="B167" s="7">
        <v>42500.0</v>
      </c>
      <c r="C167" s="8">
        <f t="shared" si="1"/>
        <v>42500</v>
      </c>
      <c r="D167" s="6">
        <v>1.0</v>
      </c>
      <c r="E167" s="6">
        <v>354.0</v>
      </c>
      <c r="F167" s="6">
        <v>375.0</v>
      </c>
      <c r="G167" s="6">
        <f t="shared" si="2"/>
        <v>21</v>
      </c>
    </row>
    <row r="168">
      <c r="A168" s="6">
        <v>4.388161847E9</v>
      </c>
      <c r="B168" s="7">
        <v>42501.0</v>
      </c>
      <c r="C168" s="8">
        <f t="shared" si="1"/>
        <v>42501</v>
      </c>
      <c r="D168" s="6">
        <v>1.0</v>
      </c>
      <c r="E168" s="6">
        <v>469.0</v>
      </c>
      <c r="F168" s="6">
        <v>494.0</v>
      </c>
      <c r="G168" s="6">
        <f t="shared" si="2"/>
        <v>25</v>
      </c>
    </row>
    <row r="169">
      <c r="A169" s="6">
        <v>4.445114986E9</v>
      </c>
      <c r="B169" s="7">
        <v>42472.0</v>
      </c>
      <c r="C169" s="8">
        <f t="shared" si="1"/>
        <v>42472</v>
      </c>
      <c r="D169" s="6">
        <v>2.0</v>
      </c>
      <c r="E169" s="6">
        <v>429.0</v>
      </c>
      <c r="F169" s="6">
        <v>457.0</v>
      </c>
      <c r="G169" s="6">
        <f t="shared" si="2"/>
        <v>28</v>
      </c>
    </row>
    <row r="170">
      <c r="A170" s="6">
        <v>4.445114986E9</v>
      </c>
      <c r="B170" s="7">
        <v>42473.0</v>
      </c>
      <c r="C170" s="8">
        <f t="shared" si="1"/>
        <v>42473</v>
      </c>
      <c r="D170" s="6">
        <v>2.0</v>
      </c>
      <c r="E170" s="6">
        <v>370.0</v>
      </c>
      <c r="F170" s="6">
        <v>406.0</v>
      </c>
      <c r="G170" s="6">
        <f t="shared" si="2"/>
        <v>36</v>
      </c>
    </row>
    <row r="171">
      <c r="A171" s="6">
        <v>4.445114986E9</v>
      </c>
      <c r="B171" s="7">
        <v>42474.0</v>
      </c>
      <c r="C171" s="8">
        <f t="shared" si="1"/>
        <v>42474</v>
      </c>
      <c r="D171" s="6">
        <v>1.0</v>
      </c>
      <c r="E171" s="6">
        <v>441.0</v>
      </c>
      <c r="F171" s="6">
        <v>492.0</v>
      </c>
      <c r="G171" s="6">
        <f t="shared" si="2"/>
        <v>51</v>
      </c>
    </row>
    <row r="172">
      <c r="A172" s="6">
        <v>4.445114986E9</v>
      </c>
      <c r="B172" s="7">
        <v>42475.0</v>
      </c>
      <c r="C172" s="8">
        <f t="shared" si="1"/>
        <v>42475</v>
      </c>
      <c r="D172" s="6">
        <v>2.0</v>
      </c>
      <c r="E172" s="6">
        <v>337.0</v>
      </c>
      <c r="F172" s="6">
        <v>379.0</v>
      </c>
      <c r="G172" s="6">
        <f t="shared" si="2"/>
        <v>42</v>
      </c>
    </row>
    <row r="173">
      <c r="A173" s="6">
        <v>4.445114986E9</v>
      </c>
      <c r="B173" s="7">
        <v>42476.0</v>
      </c>
      <c r="C173" s="8">
        <f t="shared" si="1"/>
        <v>42476</v>
      </c>
      <c r="D173" s="6">
        <v>1.0</v>
      </c>
      <c r="E173" s="6">
        <v>462.0</v>
      </c>
      <c r="F173" s="6">
        <v>499.0</v>
      </c>
      <c r="G173" s="6">
        <f t="shared" si="2"/>
        <v>37</v>
      </c>
    </row>
    <row r="174">
      <c r="A174" s="6">
        <v>4.445114986E9</v>
      </c>
      <c r="B174" s="7">
        <v>42477.0</v>
      </c>
      <c r="C174" s="8">
        <f t="shared" si="1"/>
        <v>42477</v>
      </c>
      <c r="D174" s="6">
        <v>1.0</v>
      </c>
      <c r="E174" s="6">
        <v>98.0</v>
      </c>
      <c r="F174" s="6">
        <v>107.0</v>
      </c>
      <c r="G174" s="6">
        <f t="shared" si="2"/>
        <v>9</v>
      </c>
    </row>
    <row r="175">
      <c r="A175" s="6">
        <v>4.445114986E9</v>
      </c>
      <c r="B175" s="7">
        <v>42479.0</v>
      </c>
      <c r="C175" s="8">
        <f t="shared" si="1"/>
        <v>42479</v>
      </c>
      <c r="D175" s="6">
        <v>2.0</v>
      </c>
      <c r="E175" s="6">
        <v>388.0</v>
      </c>
      <c r="F175" s="6">
        <v>424.0</v>
      </c>
      <c r="G175" s="6">
        <f t="shared" si="2"/>
        <v>36</v>
      </c>
    </row>
    <row r="176">
      <c r="A176" s="6">
        <v>4.445114986E9</v>
      </c>
      <c r="B176" s="7">
        <v>42480.0</v>
      </c>
      <c r="C176" s="8">
        <f t="shared" si="1"/>
        <v>42480</v>
      </c>
      <c r="D176" s="6">
        <v>1.0</v>
      </c>
      <c r="E176" s="6">
        <v>439.0</v>
      </c>
      <c r="F176" s="6">
        <v>462.0</v>
      </c>
      <c r="G176" s="6">
        <f t="shared" si="2"/>
        <v>23</v>
      </c>
    </row>
    <row r="177">
      <c r="A177" s="6">
        <v>4.445114986E9</v>
      </c>
      <c r="B177" s="7">
        <v>42481.0</v>
      </c>
      <c r="C177" s="8">
        <f t="shared" si="1"/>
        <v>42481</v>
      </c>
      <c r="D177" s="6">
        <v>1.0</v>
      </c>
      <c r="E177" s="6">
        <v>436.0</v>
      </c>
      <c r="F177" s="6">
        <v>469.0</v>
      </c>
      <c r="G177" s="6">
        <f t="shared" si="2"/>
        <v>33</v>
      </c>
    </row>
    <row r="178">
      <c r="A178" s="6">
        <v>4.445114986E9</v>
      </c>
      <c r="B178" s="7">
        <v>42482.0</v>
      </c>
      <c r="C178" s="8">
        <f t="shared" si="1"/>
        <v>42482</v>
      </c>
      <c r="D178" s="6">
        <v>1.0</v>
      </c>
      <c r="E178" s="6">
        <v>388.0</v>
      </c>
      <c r="F178" s="6">
        <v>417.0</v>
      </c>
      <c r="G178" s="6">
        <f t="shared" si="2"/>
        <v>29</v>
      </c>
    </row>
    <row r="179">
      <c r="A179" s="6">
        <v>4.445114986E9</v>
      </c>
      <c r="B179" s="7">
        <v>42485.0</v>
      </c>
      <c r="C179" s="8">
        <f t="shared" si="1"/>
        <v>42485</v>
      </c>
      <c r="D179" s="6">
        <v>1.0</v>
      </c>
      <c r="E179" s="6">
        <v>328.0</v>
      </c>
      <c r="F179" s="6">
        <v>345.0</v>
      </c>
      <c r="G179" s="6">
        <f t="shared" si="2"/>
        <v>17</v>
      </c>
    </row>
    <row r="180">
      <c r="A180" s="6">
        <v>4.445114986E9</v>
      </c>
      <c r="B180" s="7">
        <v>42486.0</v>
      </c>
      <c r="C180" s="8">
        <f t="shared" si="1"/>
        <v>42486</v>
      </c>
      <c r="D180" s="6">
        <v>2.0</v>
      </c>
      <c r="E180" s="6">
        <v>353.0</v>
      </c>
      <c r="F180" s="6">
        <v>391.0</v>
      </c>
      <c r="G180" s="6">
        <f t="shared" si="2"/>
        <v>38</v>
      </c>
    </row>
    <row r="181">
      <c r="A181" s="6">
        <v>4.445114986E9</v>
      </c>
      <c r="B181" s="7">
        <v>42487.0</v>
      </c>
      <c r="C181" s="8">
        <f t="shared" si="1"/>
        <v>42487</v>
      </c>
      <c r="D181" s="6">
        <v>1.0</v>
      </c>
      <c r="E181" s="6">
        <v>332.0</v>
      </c>
      <c r="F181" s="6">
        <v>374.0</v>
      </c>
      <c r="G181" s="6">
        <f t="shared" si="2"/>
        <v>42</v>
      </c>
    </row>
    <row r="182">
      <c r="A182" s="6">
        <v>4.445114986E9</v>
      </c>
      <c r="B182" s="7">
        <v>42488.0</v>
      </c>
      <c r="C182" s="8">
        <f t="shared" si="1"/>
        <v>42488</v>
      </c>
      <c r="D182" s="6">
        <v>1.0</v>
      </c>
      <c r="E182" s="6">
        <v>419.0</v>
      </c>
      <c r="F182" s="6">
        <v>442.0</v>
      </c>
      <c r="G182" s="6">
        <f t="shared" si="2"/>
        <v>23</v>
      </c>
    </row>
    <row r="183">
      <c r="A183" s="6">
        <v>4.445114986E9</v>
      </c>
      <c r="B183" s="7">
        <v>42489.0</v>
      </c>
      <c r="C183" s="8">
        <f t="shared" si="1"/>
        <v>42489</v>
      </c>
      <c r="D183" s="6">
        <v>1.0</v>
      </c>
      <c r="E183" s="6">
        <v>106.0</v>
      </c>
      <c r="F183" s="6">
        <v>108.0</v>
      </c>
      <c r="G183" s="6">
        <f t="shared" si="2"/>
        <v>2</v>
      </c>
    </row>
    <row r="184">
      <c r="A184" s="6">
        <v>4.445114986E9</v>
      </c>
      <c r="B184" s="7">
        <v>42490.0</v>
      </c>
      <c r="C184" s="8">
        <f t="shared" si="1"/>
        <v>42490</v>
      </c>
      <c r="D184" s="6">
        <v>1.0</v>
      </c>
      <c r="E184" s="6">
        <v>322.0</v>
      </c>
      <c r="F184" s="6">
        <v>353.0</v>
      </c>
      <c r="G184" s="6">
        <f t="shared" si="2"/>
        <v>31</v>
      </c>
    </row>
    <row r="185">
      <c r="A185" s="6">
        <v>4.445114986E9</v>
      </c>
      <c r="B185" s="7">
        <v>42491.0</v>
      </c>
      <c r="C185" s="8">
        <f t="shared" si="1"/>
        <v>42491</v>
      </c>
      <c r="D185" s="6">
        <v>2.0</v>
      </c>
      <c r="E185" s="6">
        <v>439.0</v>
      </c>
      <c r="F185" s="6">
        <v>459.0</v>
      </c>
      <c r="G185" s="6">
        <f t="shared" si="2"/>
        <v>20</v>
      </c>
    </row>
    <row r="186">
      <c r="A186" s="6">
        <v>4.445114986E9</v>
      </c>
      <c r="B186" s="7">
        <v>42492.0</v>
      </c>
      <c r="C186" s="8">
        <f t="shared" si="1"/>
        <v>42492</v>
      </c>
      <c r="D186" s="6">
        <v>1.0</v>
      </c>
      <c r="E186" s="6">
        <v>502.0</v>
      </c>
      <c r="F186" s="6">
        <v>542.0</v>
      </c>
      <c r="G186" s="6">
        <f t="shared" si="2"/>
        <v>40</v>
      </c>
    </row>
    <row r="187">
      <c r="A187" s="6">
        <v>4.445114986E9</v>
      </c>
      <c r="B187" s="7">
        <v>42493.0</v>
      </c>
      <c r="C187" s="8">
        <f t="shared" si="1"/>
        <v>42493</v>
      </c>
      <c r="D187" s="6">
        <v>2.0</v>
      </c>
      <c r="E187" s="6">
        <v>417.0</v>
      </c>
      <c r="F187" s="6">
        <v>450.0</v>
      </c>
      <c r="G187" s="6">
        <f t="shared" si="2"/>
        <v>33</v>
      </c>
    </row>
    <row r="188">
      <c r="A188" s="6">
        <v>4.445114986E9</v>
      </c>
      <c r="B188" s="7">
        <v>42494.0</v>
      </c>
      <c r="C188" s="8">
        <f t="shared" si="1"/>
        <v>42494</v>
      </c>
      <c r="D188" s="6">
        <v>2.0</v>
      </c>
      <c r="E188" s="6">
        <v>337.0</v>
      </c>
      <c r="F188" s="6">
        <v>363.0</v>
      </c>
      <c r="G188" s="6">
        <f t="shared" si="2"/>
        <v>26</v>
      </c>
    </row>
    <row r="189">
      <c r="A189" s="6">
        <v>4.445114986E9</v>
      </c>
      <c r="B189" s="7">
        <v>42495.0</v>
      </c>
      <c r="C189" s="8">
        <f t="shared" si="1"/>
        <v>42495</v>
      </c>
      <c r="D189" s="6">
        <v>2.0</v>
      </c>
      <c r="E189" s="6">
        <v>462.0</v>
      </c>
      <c r="F189" s="6">
        <v>513.0</v>
      </c>
      <c r="G189" s="6">
        <f t="shared" si="2"/>
        <v>51</v>
      </c>
    </row>
    <row r="190">
      <c r="A190" s="6">
        <v>4.445114986E9</v>
      </c>
      <c r="B190" s="7">
        <v>42496.0</v>
      </c>
      <c r="C190" s="8">
        <f t="shared" si="1"/>
        <v>42496</v>
      </c>
      <c r="D190" s="6">
        <v>2.0</v>
      </c>
      <c r="E190" s="6">
        <v>374.0</v>
      </c>
      <c r="F190" s="6">
        <v>402.0</v>
      </c>
      <c r="G190" s="6">
        <f t="shared" si="2"/>
        <v>28</v>
      </c>
    </row>
    <row r="191">
      <c r="A191" s="6">
        <v>4.445114986E9</v>
      </c>
      <c r="B191" s="7">
        <v>42497.0</v>
      </c>
      <c r="C191" s="8">
        <f t="shared" si="1"/>
        <v>42497</v>
      </c>
      <c r="D191" s="6">
        <v>2.0</v>
      </c>
      <c r="E191" s="6">
        <v>401.0</v>
      </c>
      <c r="F191" s="6">
        <v>436.0</v>
      </c>
      <c r="G191" s="6">
        <f t="shared" si="2"/>
        <v>35</v>
      </c>
    </row>
    <row r="192">
      <c r="A192" s="6">
        <v>4.445114986E9</v>
      </c>
      <c r="B192" s="7">
        <v>42498.0</v>
      </c>
      <c r="C192" s="8">
        <f t="shared" si="1"/>
        <v>42498</v>
      </c>
      <c r="D192" s="6">
        <v>1.0</v>
      </c>
      <c r="E192" s="6">
        <v>361.0</v>
      </c>
      <c r="F192" s="6">
        <v>391.0</v>
      </c>
      <c r="G192" s="6">
        <f t="shared" si="2"/>
        <v>30</v>
      </c>
    </row>
    <row r="193">
      <c r="A193" s="6">
        <v>4.445114986E9</v>
      </c>
      <c r="B193" s="7">
        <v>42499.0</v>
      </c>
      <c r="C193" s="8">
        <f t="shared" si="1"/>
        <v>42499</v>
      </c>
      <c r="D193" s="6">
        <v>1.0</v>
      </c>
      <c r="E193" s="6">
        <v>457.0</v>
      </c>
      <c r="F193" s="6">
        <v>533.0</v>
      </c>
      <c r="G193" s="6">
        <f t="shared" si="2"/>
        <v>76</v>
      </c>
    </row>
    <row r="194">
      <c r="A194" s="6">
        <v>4.445114986E9</v>
      </c>
      <c r="B194" s="7">
        <v>42500.0</v>
      </c>
      <c r="C194" s="8">
        <f t="shared" si="1"/>
        <v>42500</v>
      </c>
      <c r="D194" s="6">
        <v>1.0</v>
      </c>
      <c r="E194" s="6">
        <v>405.0</v>
      </c>
      <c r="F194" s="6">
        <v>426.0</v>
      </c>
      <c r="G194" s="6">
        <f t="shared" si="2"/>
        <v>21</v>
      </c>
    </row>
    <row r="195">
      <c r="A195" s="6">
        <v>4.445114986E9</v>
      </c>
      <c r="B195" s="7">
        <v>42501.0</v>
      </c>
      <c r="C195" s="8">
        <f t="shared" si="1"/>
        <v>42501</v>
      </c>
      <c r="D195" s="6">
        <v>1.0</v>
      </c>
      <c r="E195" s="6">
        <v>499.0</v>
      </c>
      <c r="F195" s="6">
        <v>530.0</v>
      </c>
      <c r="G195" s="6">
        <f t="shared" si="2"/>
        <v>31</v>
      </c>
    </row>
    <row r="196">
      <c r="A196" s="6">
        <v>4.445114986E9</v>
      </c>
      <c r="B196" s="7">
        <v>42502.0</v>
      </c>
      <c r="C196" s="8">
        <f t="shared" si="1"/>
        <v>42502</v>
      </c>
      <c r="D196" s="6">
        <v>1.0</v>
      </c>
      <c r="E196" s="6">
        <v>483.0</v>
      </c>
      <c r="F196" s="6">
        <v>501.0</v>
      </c>
      <c r="G196" s="6">
        <f t="shared" si="2"/>
        <v>18</v>
      </c>
    </row>
    <row r="197">
      <c r="A197" s="6">
        <v>4.558609924E9</v>
      </c>
      <c r="B197" s="7">
        <v>42481.0</v>
      </c>
      <c r="C197" s="8">
        <f t="shared" si="1"/>
        <v>42481</v>
      </c>
      <c r="D197" s="6">
        <v>1.0</v>
      </c>
      <c r="E197" s="6">
        <v>126.0</v>
      </c>
      <c r="F197" s="6">
        <v>137.0</v>
      </c>
      <c r="G197" s="6">
        <f t="shared" si="2"/>
        <v>11</v>
      </c>
    </row>
    <row r="198">
      <c r="A198" s="6">
        <v>4.558609924E9</v>
      </c>
      <c r="B198" s="7">
        <v>42486.0</v>
      </c>
      <c r="C198" s="8">
        <f t="shared" si="1"/>
        <v>42486</v>
      </c>
      <c r="D198" s="6">
        <v>1.0</v>
      </c>
      <c r="E198" s="6">
        <v>103.0</v>
      </c>
      <c r="F198" s="6">
        <v>121.0</v>
      </c>
      <c r="G198" s="6">
        <f t="shared" si="2"/>
        <v>18</v>
      </c>
    </row>
    <row r="199">
      <c r="A199" s="6">
        <v>4.558609924E9</v>
      </c>
      <c r="B199" s="7">
        <v>42489.0</v>
      </c>
      <c r="C199" s="8">
        <f t="shared" si="1"/>
        <v>42489</v>
      </c>
      <c r="D199" s="6">
        <v>1.0</v>
      </c>
      <c r="E199" s="6">
        <v>171.0</v>
      </c>
      <c r="F199" s="6">
        <v>179.0</v>
      </c>
      <c r="G199" s="6">
        <f t="shared" si="2"/>
        <v>8</v>
      </c>
    </row>
    <row r="200">
      <c r="A200" s="6">
        <v>4.558609924E9</v>
      </c>
      <c r="B200" s="7">
        <v>42491.0</v>
      </c>
      <c r="C200" s="8">
        <f t="shared" si="1"/>
        <v>42491</v>
      </c>
      <c r="D200" s="6">
        <v>1.0</v>
      </c>
      <c r="E200" s="6">
        <v>115.0</v>
      </c>
      <c r="F200" s="6">
        <v>129.0</v>
      </c>
      <c r="G200" s="6">
        <f t="shared" si="2"/>
        <v>14</v>
      </c>
    </row>
    <row r="201">
      <c r="A201" s="6">
        <v>4.558609924E9</v>
      </c>
      <c r="B201" s="7">
        <v>42498.0</v>
      </c>
      <c r="C201" s="8">
        <f t="shared" si="1"/>
        <v>42498</v>
      </c>
      <c r="D201" s="6">
        <v>1.0</v>
      </c>
      <c r="E201" s="6">
        <v>123.0</v>
      </c>
      <c r="F201" s="6">
        <v>134.0</v>
      </c>
      <c r="G201" s="6">
        <f t="shared" si="2"/>
        <v>11</v>
      </c>
    </row>
    <row r="202">
      <c r="A202" s="6">
        <v>4.702921684E9</v>
      </c>
      <c r="B202" s="7">
        <v>42472.0</v>
      </c>
      <c r="C202" s="8">
        <f t="shared" si="1"/>
        <v>42472</v>
      </c>
      <c r="D202" s="6">
        <v>1.0</v>
      </c>
      <c r="E202" s="6">
        <v>425.0</v>
      </c>
      <c r="F202" s="6">
        <v>439.0</v>
      </c>
      <c r="G202" s="6">
        <f t="shared" si="2"/>
        <v>14</v>
      </c>
    </row>
    <row r="203">
      <c r="A203" s="6">
        <v>4.702921684E9</v>
      </c>
      <c r="B203" s="7">
        <v>42473.0</v>
      </c>
      <c r="C203" s="8">
        <f t="shared" si="1"/>
        <v>42473</v>
      </c>
      <c r="D203" s="6">
        <v>2.0</v>
      </c>
      <c r="E203" s="6">
        <v>400.0</v>
      </c>
      <c r="F203" s="6">
        <v>430.0</v>
      </c>
      <c r="G203" s="6">
        <f t="shared" si="2"/>
        <v>30</v>
      </c>
    </row>
    <row r="204">
      <c r="A204" s="6">
        <v>4.702921684E9</v>
      </c>
      <c r="B204" s="7">
        <v>42474.0</v>
      </c>
      <c r="C204" s="8">
        <f t="shared" si="1"/>
        <v>42474</v>
      </c>
      <c r="D204" s="6">
        <v>1.0</v>
      </c>
      <c r="E204" s="6">
        <v>384.0</v>
      </c>
      <c r="F204" s="6">
        <v>415.0</v>
      </c>
      <c r="G204" s="6">
        <f t="shared" si="2"/>
        <v>31</v>
      </c>
    </row>
    <row r="205">
      <c r="A205" s="6">
        <v>4.702921684E9</v>
      </c>
      <c r="B205" s="7">
        <v>42475.0</v>
      </c>
      <c r="C205" s="8">
        <f t="shared" si="1"/>
        <v>42475</v>
      </c>
      <c r="D205" s="6">
        <v>1.0</v>
      </c>
      <c r="E205" s="6">
        <v>253.0</v>
      </c>
      <c r="F205" s="6">
        <v>257.0</v>
      </c>
      <c r="G205" s="6">
        <f t="shared" si="2"/>
        <v>4</v>
      </c>
    </row>
    <row r="206">
      <c r="A206" s="6">
        <v>4.702921684E9</v>
      </c>
      <c r="B206" s="7">
        <v>42476.0</v>
      </c>
      <c r="C206" s="8">
        <f t="shared" si="1"/>
        <v>42476</v>
      </c>
      <c r="D206" s="6">
        <v>2.0</v>
      </c>
      <c r="E206" s="6">
        <v>382.0</v>
      </c>
      <c r="F206" s="6">
        <v>406.0</v>
      </c>
      <c r="G206" s="6">
        <f t="shared" si="2"/>
        <v>24</v>
      </c>
    </row>
    <row r="207">
      <c r="A207" s="6">
        <v>4.702921684E9</v>
      </c>
      <c r="B207" s="7">
        <v>42477.0</v>
      </c>
      <c r="C207" s="8">
        <f t="shared" si="1"/>
        <v>42477</v>
      </c>
      <c r="D207" s="6">
        <v>1.0</v>
      </c>
      <c r="E207" s="6">
        <v>591.0</v>
      </c>
      <c r="F207" s="6">
        <v>612.0</v>
      </c>
      <c r="G207" s="6">
        <f t="shared" si="2"/>
        <v>21</v>
      </c>
    </row>
    <row r="208">
      <c r="A208" s="6">
        <v>4.702921684E9</v>
      </c>
      <c r="B208" s="7">
        <v>42478.0</v>
      </c>
      <c r="C208" s="8">
        <f t="shared" si="1"/>
        <v>42478</v>
      </c>
      <c r="D208" s="6">
        <v>1.0</v>
      </c>
      <c r="E208" s="6">
        <v>293.0</v>
      </c>
      <c r="F208" s="6">
        <v>312.0</v>
      </c>
      <c r="G208" s="6">
        <f t="shared" si="2"/>
        <v>19</v>
      </c>
    </row>
    <row r="209">
      <c r="A209" s="6">
        <v>4.702921684E9</v>
      </c>
      <c r="B209" s="7">
        <v>42479.0</v>
      </c>
      <c r="C209" s="8">
        <f t="shared" si="1"/>
        <v>42479</v>
      </c>
      <c r="D209" s="6">
        <v>1.0</v>
      </c>
      <c r="E209" s="6">
        <v>457.0</v>
      </c>
      <c r="F209" s="6">
        <v>487.0</v>
      </c>
      <c r="G209" s="6">
        <f t="shared" si="2"/>
        <v>30</v>
      </c>
    </row>
    <row r="210">
      <c r="A210" s="6">
        <v>4.702921684E9</v>
      </c>
      <c r="B210" s="7">
        <v>42480.0</v>
      </c>
      <c r="C210" s="8">
        <f t="shared" si="1"/>
        <v>42480</v>
      </c>
      <c r="D210" s="6">
        <v>1.0</v>
      </c>
      <c r="E210" s="6">
        <v>454.0</v>
      </c>
      <c r="F210" s="6">
        <v>468.0</v>
      </c>
      <c r="G210" s="6">
        <f t="shared" si="2"/>
        <v>14</v>
      </c>
    </row>
    <row r="211">
      <c r="A211" s="6">
        <v>4.702921684E9</v>
      </c>
      <c r="B211" s="7">
        <v>42481.0</v>
      </c>
      <c r="C211" s="8">
        <f t="shared" si="1"/>
        <v>42481</v>
      </c>
      <c r="D211" s="6">
        <v>1.0</v>
      </c>
      <c r="E211" s="6">
        <v>425.0</v>
      </c>
      <c r="F211" s="6">
        <v>434.0</v>
      </c>
      <c r="G211" s="6">
        <f t="shared" si="2"/>
        <v>9</v>
      </c>
    </row>
    <row r="212">
      <c r="A212" s="6">
        <v>4.702921684E9</v>
      </c>
      <c r="B212" s="7">
        <v>42483.0</v>
      </c>
      <c r="C212" s="8">
        <f t="shared" si="1"/>
        <v>42483</v>
      </c>
      <c r="D212" s="6">
        <v>1.0</v>
      </c>
      <c r="E212" s="6">
        <v>465.0</v>
      </c>
      <c r="F212" s="6">
        <v>475.0</v>
      </c>
      <c r="G212" s="6">
        <f t="shared" si="2"/>
        <v>10</v>
      </c>
    </row>
    <row r="213">
      <c r="A213" s="6">
        <v>4.702921684E9</v>
      </c>
      <c r="B213" s="7">
        <v>42484.0</v>
      </c>
      <c r="C213" s="8">
        <f t="shared" si="1"/>
        <v>42484</v>
      </c>
      <c r="D213" s="6">
        <v>1.0</v>
      </c>
      <c r="E213" s="6">
        <v>480.0</v>
      </c>
      <c r="F213" s="6">
        <v>506.0</v>
      </c>
      <c r="G213" s="6">
        <f t="shared" si="2"/>
        <v>26</v>
      </c>
    </row>
    <row r="214">
      <c r="A214" s="6">
        <v>4.702921684E9</v>
      </c>
      <c r="B214" s="7">
        <v>42485.0</v>
      </c>
      <c r="C214" s="8">
        <f t="shared" si="1"/>
        <v>42485</v>
      </c>
      <c r="D214" s="6">
        <v>1.0</v>
      </c>
      <c r="E214" s="6">
        <v>370.0</v>
      </c>
      <c r="F214" s="6">
        <v>380.0</v>
      </c>
      <c r="G214" s="6">
        <f t="shared" si="2"/>
        <v>10</v>
      </c>
    </row>
    <row r="215">
      <c r="A215" s="6">
        <v>4.702921684E9</v>
      </c>
      <c r="B215" s="7">
        <v>42486.0</v>
      </c>
      <c r="C215" s="8">
        <f t="shared" si="1"/>
        <v>42486</v>
      </c>
      <c r="D215" s="6">
        <v>1.0</v>
      </c>
      <c r="E215" s="6">
        <v>421.0</v>
      </c>
      <c r="F215" s="6">
        <v>429.0</v>
      </c>
      <c r="G215" s="6">
        <f t="shared" si="2"/>
        <v>8</v>
      </c>
    </row>
    <row r="216">
      <c r="A216" s="6">
        <v>4.702921684E9</v>
      </c>
      <c r="B216" s="7">
        <v>42487.0</v>
      </c>
      <c r="C216" s="8">
        <f t="shared" si="1"/>
        <v>42487</v>
      </c>
      <c r="D216" s="6">
        <v>1.0</v>
      </c>
      <c r="E216" s="6">
        <v>432.0</v>
      </c>
      <c r="F216" s="6">
        <v>449.0</v>
      </c>
      <c r="G216" s="6">
        <f t="shared" si="2"/>
        <v>17</v>
      </c>
    </row>
    <row r="217">
      <c r="A217" s="6">
        <v>4.702921684E9</v>
      </c>
      <c r="B217" s="7">
        <v>42488.0</v>
      </c>
      <c r="C217" s="8">
        <f t="shared" si="1"/>
        <v>42488</v>
      </c>
      <c r="D217" s="6">
        <v>1.0</v>
      </c>
      <c r="E217" s="6">
        <v>442.0</v>
      </c>
      <c r="F217" s="6">
        <v>461.0</v>
      </c>
      <c r="G217" s="6">
        <f t="shared" si="2"/>
        <v>19</v>
      </c>
    </row>
    <row r="218">
      <c r="A218" s="6">
        <v>4.702921684E9</v>
      </c>
      <c r="B218" s="7">
        <v>42489.0</v>
      </c>
      <c r="C218" s="8">
        <f t="shared" si="1"/>
        <v>42489</v>
      </c>
      <c r="D218" s="6">
        <v>1.0</v>
      </c>
      <c r="E218" s="6">
        <v>433.0</v>
      </c>
      <c r="F218" s="6">
        <v>447.0</v>
      </c>
      <c r="G218" s="6">
        <f t="shared" si="2"/>
        <v>14</v>
      </c>
    </row>
    <row r="219">
      <c r="A219" s="6">
        <v>4.702921684E9</v>
      </c>
      <c r="B219" s="7">
        <v>42490.0</v>
      </c>
      <c r="C219" s="8">
        <f t="shared" si="1"/>
        <v>42490</v>
      </c>
      <c r="D219" s="6">
        <v>1.0</v>
      </c>
      <c r="E219" s="6">
        <v>479.0</v>
      </c>
      <c r="F219" s="6">
        <v>501.0</v>
      </c>
      <c r="G219" s="6">
        <f t="shared" si="2"/>
        <v>22</v>
      </c>
    </row>
    <row r="220">
      <c r="A220" s="6">
        <v>4.702921684E9</v>
      </c>
      <c r="B220" s="7">
        <v>42493.0</v>
      </c>
      <c r="C220" s="8">
        <f t="shared" si="1"/>
        <v>42493</v>
      </c>
      <c r="D220" s="6">
        <v>1.0</v>
      </c>
      <c r="E220" s="6">
        <v>327.0</v>
      </c>
      <c r="F220" s="6">
        <v>373.0</v>
      </c>
      <c r="G220" s="6">
        <f t="shared" si="2"/>
        <v>46</v>
      </c>
    </row>
    <row r="221">
      <c r="A221" s="6">
        <v>4.702921684E9</v>
      </c>
      <c r="B221" s="7">
        <v>42494.0</v>
      </c>
      <c r="C221" s="8">
        <f t="shared" si="1"/>
        <v>42494</v>
      </c>
      <c r="D221" s="6">
        <v>1.0</v>
      </c>
      <c r="E221" s="6">
        <v>412.0</v>
      </c>
      <c r="F221" s="6">
        <v>434.0</v>
      </c>
      <c r="G221" s="6">
        <f t="shared" si="2"/>
        <v>22</v>
      </c>
    </row>
    <row r="222">
      <c r="A222" s="6">
        <v>4.702921684E9</v>
      </c>
      <c r="B222" s="7">
        <v>42495.0</v>
      </c>
      <c r="C222" s="8">
        <f t="shared" si="1"/>
        <v>42495</v>
      </c>
      <c r="D222" s="6">
        <v>1.0</v>
      </c>
      <c r="E222" s="6">
        <v>414.0</v>
      </c>
      <c r="F222" s="6">
        <v>428.0</v>
      </c>
      <c r="G222" s="6">
        <f t="shared" si="2"/>
        <v>14</v>
      </c>
    </row>
    <row r="223">
      <c r="A223" s="6">
        <v>4.702921684E9</v>
      </c>
      <c r="B223" s="7">
        <v>42496.0</v>
      </c>
      <c r="C223" s="8">
        <f t="shared" si="1"/>
        <v>42496</v>
      </c>
      <c r="D223" s="6">
        <v>1.0</v>
      </c>
      <c r="E223" s="6">
        <v>404.0</v>
      </c>
      <c r="F223" s="6">
        <v>449.0</v>
      </c>
      <c r="G223" s="6">
        <f t="shared" si="2"/>
        <v>45</v>
      </c>
    </row>
    <row r="224">
      <c r="A224" s="6">
        <v>4.702921684E9</v>
      </c>
      <c r="B224" s="7">
        <v>42497.0</v>
      </c>
      <c r="C224" s="8">
        <f t="shared" si="1"/>
        <v>42497</v>
      </c>
      <c r="D224" s="6">
        <v>1.0</v>
      </c>
      <c r="E224" s="6">
        <v>520.0</v>
      </c>
      <c r="F224" s="6">
        <v>543.0</v>
      </c>
      <c r="G224" s="6">
        <f t="shared" si="2"/>
        <v>23</v>
      </c>
    </row>
    <row r="225">
      <c r="A225" s="6">
        <v>4.702921684E9</v>
      </c>
      <c r="B225" s="7">
        <v>42497.0</v>
      </c>
      <c r="C225" s="8">
        <f t="shared" si="1"/>
        <v>42497</v>
      </c>
      <c r="D225" s="6">
        <v>1.0</v>
      </c>
      <c r="E225" s="6">
        <v>520.0</v>
      </c>
      <c r="F225" s="6">
        <v>543.0</v>
      </c>
      <c r="G225" s="6">
        <f t="shared" si="2"/>
        <v>23</v>
      </c>
    </row>
    <row r="226">
      <c r="A226" s="6">
        <v>4.702921684E9</v>
      </c>
      <c r="B226" s="7">
        <v>42499.0</v>
      </c>
      <c r="C226" s="8">
        <f t="shared" si="1"/>
        <v>42499</v>
      </c>
      <c r="D226" s="6">
        <v>1.0</v>
      </c>
      <c r="E226" s="6">
        <v>435.0</v>
      </c>
      <c r="F226" s="6">
        <v>458.0</v>
      </c>
      <c r="G226" s="6">
        <f t="shared" si="2"/>
        <v>23</v>
      </c>
    </row>
    <row r="227">
      <c r="A227" s="6">
        <v>4.702921684E9</v>
      </c>
      <c r="B227" s="7">
        <v>42500.0</v>
      </c>
      <c r="C227" s="8">
        <f t="shared" si="1"/>
        <v>42500</v>
      </c>
      <c r="D227" s="6">
        <v>1.0</v>
      </c>
      <c r="E227" s="6">
        <v>416.0</v>
      </c>
      <c r="F227" s="6">
        <v>431.0</v>
      </c>
      <c r="G227" s="6">
        <f t="shared" si="2"/>
        <v>15</v>
      </c>
    </row>
    <row r="228">
      <c r="A228" s="6">
        <v>4.702921684E9</v>
      </c>
      <c r="B228" s="7">
        <v>42501.0</v>
      </c>
      <c r="C228" s="8">
        <f t="shared" si="1"/>
        <v>42501</v>
      </c>
      <c r="D228" s="6">
        <v>1.0</v>
      </c>
      <c r="E228" s="6">
        <v>354.0</v>
      </c>
      <c r="F228" s="6">
        <v>366.0</v>
      </c>
      <c r="G228" s="6">
        <f t="shared" si="2"/>
        <v>12</v>
      </c>
    </row>
    <row r="229">
      <c r="A229" s="6">
        <v>4.702921684E9</v>
      </c>
      <c r="B229" s="7">
        <v>42502.0</v>
      </c>
      <c r="C229" s="8">
        <f t="shared" si="1"/>
        <v>42502</v>
      </c>
      <c r="D229" s="6">
        <v>1.0</v>
      </c>
      <c r="E229" s="6">
        <v>404.0</v>
      </c>
      <c r="F229" s="6">
        <v>442.0</v>
      </c>
      <c r="G229" s="6">
        <f t="shared" si="2"/>
        <v>38</v>
      </c>
    </row>
    <row r="230">
      <c r="A230" s="6">
        <v>5.553957443E9</v>
      </c>
      <c r="B230" s="7">
        <v>42472.0</v>
      </c>
      <c r="C230" s="8">
        <f t="shared" si="1"/>
        <v>42472</v>
      </c>
      <c r="D230" s="6">
        <v>1.0</v>
      </c>
      <c r="E230" s="6">
        <v>441.0</v>
      </c>
      <c r="F230" s="6">
        <v>464.0</v>
      </c>
      <c r="G230" s="6">
        <f t="shared" si="2"/>
        <v>23</v>
      </c>
    </row>
    <row r="231">
      <c r="A231" s="6">
        <v>5.553957443E9</v>
      </c>
      <c r="B231" s="7">
        <v>42473.0</v>
      </c>
      <c r="C231" s="8">
        <f t="shared" si="1"/>
        <v>42473</v>
      </c>
      <c r="D231" s="6">
        <v>2.0</v>
      </c>
      <c r="E231" s="6">
        <v>455.0</v>
      </c>
      <c r="F231" s="6">
        <v>488.0</v>
      </c>
      <c r="G231" s="6">
        <f t="shared" si="2"/>
        <v>33</v>
      </c>
    </row>
    <row r="232">
      <c r="A232" s="6">
        <v>5.553957443E9</v>
      </c>
      <c r="B232" s="7">
        <v>42474.0</v>
      </c>
      <c r="C232" s="8">
        <f t="shared" si="1"/>
        <v>42474</v>
      </c>
      <c r="D232" s="6">
        <v>1.0</v>
      </c>
      <c r="E232" s="6">
        <v>357.0</v>
      </c>
      <c r="F232" s="6">
        <v>418.0</v>
      </c>
      <c r="G232" s="6">
        <f t="shared" si="2"/>
        <v>61</v>
      </c>
    </row>
    <row r="233">
      <c r="A233" s="6">
        <v>5.553957443E9</v>
      </c>
      <c r="B233" s="7">
        <v>42475.0</v>
      </c>
      <c r="C233" s="8">
        <f t="shared" si="1"/>
        <v>42475</v>
      </c>
      <c r="D233" s="6">
        <v>1.0</v>
      </c>
      <c r="E233" s="6">
        <v>377.0</v>
      </c>
      <c r="F233" s="6">
        <v>409.0</v>
      </c>
      <c r="G233" s="6">
        <f t="shared" si="2"/>
        <v>32</v>
      </c>
    </row>
    <row r="234">
      <c r="A234" s="6">
        <v>5.553957443E9</v>
      </c>
      <c r="B234" s="7">
        <v>42476.0</v>
      </c>
      <c r="C234" s="8">
        <f t="shared" si="1"/>
        <v>42476</v>
      </c>
      <c r="D234" s="6">
        <v>2.0</v>
      </c>
      <c r="E234" s="6">
        <v>651.0</v>
      </c>
      <c r="F234" s="6">
        <v>686.0</v>
      </c>
      <c r="G234" s="6">
        <f t="shared" si="2"/>
        <v>35</v>
      </c>
    </row>
    <row r="235">
      <c r="A235" s="6">
        <v>5.553957443E9</v>
      </c>
      <c r="B235" s="7">
        <v>42477.0</v>
      </c>
      <c r="C235" s="8">
        <f t="shared" si="1"/>
        <v>42477</v>
      </c>
      <c r="D235" s="6">
        <v>1.0</v>
      </c>
      <c r="E235" s="6">
        <v>350.0</v>
      </c>
      <c r="F235" s="6">
        <v>402.0</v>
      </c>
      <c r="G235" s="6">
        <f t="shared" si="2"/>
        <v>52</v>
      </c>
    </row>
    <row r="236">
      <c r="A236" s="6">
        <v>5.553957443E9</v>
      </c>
      <c r="B236" s="7">
        <v>42478.0</v>
      </c>
      <c r="C236" s="8">
        <f t="shared" si="1"/>
        <v>42478</v>
      </c>
      <c r="D236" s="6">
        <v>2.0</v>
      </c>
      <c r="E236" s="6">
        <v>520.0</v>
      </c>
      <c r="F236" s="6">
        <v>541.0</v>
      </c>
      <c r="G236" s="6">
        <f t="shared" si="2"/>
        <v>21</v>
      </c>
    </row>
    <row r="237">
      <c r="A237" s="6">
        <v>5.553957443E9</v>
      </c>
      <c r="B237" s="7">
        <v>42479.0</v>
      </c>
      <c r="C237" s="8">
        <f t="shared" si="1"/>
        <v>42479</v>
      </c>
      <c r="D237" s="6">
        <v>1.0</v>
      </c>
      <c r="E237" s="6">
        <v>357.0</v>
      </c>
      <c r="F237" s="6">
        <v>410.0</v>
      </c>
      <c r="G237" s="6">
        <f t="shared" si="2"/>
        <v>53</v>
      </c>
    </row>
    <row r="238">
      <c r="A238" s="6">
        <v>5.553957443E9</v>
      </c>
      <c r="B238" s="7">
        <v>42480.0</v>
      </c>
      <c r="C238" s="8">
        <f t="shared" si="1"/>
        <v>42480</v>
      </c>
      <c r="D238" s="6">
        <v>1.0</v>
      </c>
      <c r="E238" s="6">
        <v>658.0</v>
      </c>
      <c r="F238" s="6">
        <v>678.0</v>
      </c>
      <c r="G238" s="6">
        <f t="shared" si="2"/>
        <v>20</v>
      </c>
    </row>
    <row r="239">
      <c r="A239" s="6">
        <v>5.553957443E9</v>
      </c>
      <c r="B239" s="7">
        <v>42481.0</v>
      </c>
      <c r="C239" s="8">
        <f t="shared" si="1"/>
        <v>42481</v>
      </c>
      <c r="D239" s="6">
        <v>1.0</v>
      </c>
      <c r="E239" s="6">
        <v>399.0</v>
      </c>
      <c r="F239" s="6">
        <v>431.0</v>
      </c>
      <c r="G239" s="6">
        <f t="shared" si="2"/>
        <v>32</v>
      </c>
    </row>
    <row r="240">
      <c r="A240" s="6">
        <v>5.553957443E9</v>
      </c>
      <c r="B240" s="7">
        <v>42482.0</v>
      </c>
      <c r="C240" s="8">
        <f t="shared" si="1"/>
        <v>42482</v>
      </c>
      <c r="D240" s="6">
        <v>1.0</v>
      </c>
      <c r="E240" s="6">
        <v>322.0</v>
      </c>
      <c r="F240" s="6">
        <v>353.0</v>
      </c>
      <c r="G240" s="6">
        <f t="shared" si="2"/>
        <v>31</v>
      </c>
    </row>
    <row r="241">
      <c r="A241" s="6">
        <v>5.553957443E9</v>
      </c>
      <c r="B241" s="7">
        <v>42483.0</v>
      </c>
      <c r="C241" s="8">
        <f t="shared" si="1"/>
        <v>42483</v>
      </c>
      <c r="D241" s="6">
        <v>2.0</v>
      </c>
      <c r="E241" s="6">
        <v>631.0</v>
      </c>
      <c r="F241" s="6">
        <v>725.0</v>
      </c>
      <c r="G241" s="6">
        <f t="shared" si="2"/>
        <v>94</v>
      </c>
    </row>
    <row r="242">
      <c r="A242" s="6">
        <v>5.553957443E9</v>
      </c>
      <c r="B242" s="7">
        <v>42484.0</v>
      </c>
      <c r="C242" s="8">
        <f t="shared" si="1"/>
        <v>42484</v>
      </c>
      <c r="D242" s="6">
        <v>2.0</v>
      </c>
      <c r="E242" s="6">
        <v>553.0</v>
      </c>
      <c r="F242" s="6">
        <v>640.0</v>
      </c>
      <c r="G242" s="6">
        <f t="shared" si="2"/>
        <v>87</v>
      </c>
    </row>
    <row r="243">
      <c r="A243" s="6">
        <v>5.553957443E9</v>
      </c>
      <c r="B243" s="7">
        <v>42485.0</v>
      </c>
      <c r="C243" s="8">
        <f t="shared" si="1"/>
        <v>42485</v>
      </c>
      <c r="D243" s="6">
        <v>1.0</v>
      </c>
      <c r="E243" s="6">
        <v>433.0</v>
      </c>
      <c r="F243" s="6">
        <v>468.0</v>
      </c>
      <c r="G243" s="6">
        <f t="shared" si="2"/>
        <v>35</v>
      </c>
    </row>
    <row r="244">
      <c r="A244" s="6">
        <v>5.553957443E9</v>
      </c>
      <c r="B244" s="7">
        <v>42486.0</v>
      </c>
      <c r="C244" s="8">
        <f t="shared" si="1"/>
        <v>42486</v>
      </c>
      <c r="D244" s="6">
        <v>1.0</v>
      </c>
      <c r="E244" s="6">
        <v>412.0</v>
      </c>
      <c r="F244" s="6">
        <v>453.0</v>
      </c>
      <c r="G244" s="6">
        <f t="shared" si="2"/>
        <v>41</v>
      </c>
    </row>
    <row r="245">
      <c r="A245" s="6">
        <v>5.553957443E9</v>
      </c>
      <c r="B245" s="7">
        <v>42487.0</v>
      </c>
      <c r="C245" s="8">
        <f t="shared" si="1"/>
        <v>42487</v>
      </c>
      <c r="D245" s="6">
        <v>1.0</v>
      </c>
      <c r="E245" s="6">
        <v>347.0</v>
      </c>
      <c r="F245" s="6">
        <v>391.0</v>
      </c>
      <c r="G245" s="6">
        <f t="shared" si="2"/>
        <v>44</v>
      </c>
    </row>
    <row r="246">
      <c r="A246" s="6">
        <v>5.553957443E9</v>
      </c>
      <c r="B246" s="7">
        <v>42488.0</v>
      </c>
      <c r="C246" s="8">
        <f t="shared" si="1"/>
        <v>42488</v>
      </c>
      <c r="D246" s="6">
        <v>1.0</v>
      </c>
      <c r="E246" s="6">
        <v>421.0</v>
      </c>
      <c r="F246" s="6">
        <v>457.0</v>
      </c>
      <c r="G246" s="6">
        <f t="shared" si="2"/>
        <v>36</v>
      </c>
    </row>
    <row r="247">
      <c r="A247" s="6">
        <v>5.553957443E9</v>
      </c>
      <c r="B247" s="7">
        <v>42489.0</v>
      </c>
      <c r="C247" s="8">
        <f t="shared" si="1"/>
        <v>42489</v>
      </c>
      <c r="D247" s="6">
        <v>1.0</v>
      </c>
      <c r="E247" s="6">
        <v>450.0</v>
      </c>
      <c r="F247" s="6">
        <v>495.0</v>
      </c>
      <c r="G247" s="6">
        <f t="shared" si="2"/>
        <v>45</v>
      </c>
    </row>
    <row r="248">
      <c r="A248" s="6">
        <v>5.553957443E9</v>
      </c>
      <c r="B248" s="7">
        <v>42490.0</v>
      </c>
      <c r="C248" s="8">
        <f t="shared" si="1"/>
        <v>42490</v>
      </c>
      <c r="D248" s="6">
        <v>2.0</v>
      </c>
      <c r="E248" s="6">
        <v>775.0</v>
      </c>
      <c r="F248" s="6">
        <v>843.0</v>
      </c>
      <c r="G248" s="6">
        <f t="shared" si="2"/>
        <v>68</v>
      </c>
    </row>
    <row r="249">
      <c r="A249" s="6">
        <v>5.553957443E9</v>
      </c>
      <c r="B249" s="7">
        <v>42491.0</v>
      </c>
      <c r="C249" s="8">
        <f t="shared" si="1"/>
        <v>42491</v>
      </c>
      <c r="D249" s="6">
        <v>2.0</v>
      </c>
      <c r="E249" s="6">
        <v>622.0</v>
      </c>
      <c r="F249" s="6">
        <v>686.0</v>
      </c>
      <c r="G249" s="6">
        <f t="shared" si="2"/>
        <v>64</v>
      </c>
    </row>
    <row r="250">
      <c r="A250" s="6">
        <v>5.553957443E9</v>
      </c>
      <c r="B250" s="7">
        <v>42492.0</v>
      </c>
      <c r="C250" s="8">
        <f t="shared" si="1"/>
        <v>42492</v>
      </c>
      <c r="D250" s="6">
        <v>1.0</v>
      </c>
      <c r="E250" s="6">
        <v>409.0</v>
      </c>
      <c r="F250" s="6">
        <v>471.0</v>
      </c>
      <c r="G250" s="6">
        <f t="shared" si="2"/>
        <v>62</v>
      </c>
    </row>
    <row r="251">
      <c r="A251" s="6">
        <v>5.553957443E9</v>
      </c>
      <c r="B251" s="7">
        <v>42493.0</v>
      </c>
      <c r="C251" s="8">
        <f t="shared" si="1"/>
        <v>42493</v>
      </c>
      <c r="D251" s="6">
        <v>1.0</v>
      </c>
      <c r="E251" s="6">
        <v>380.0</v>
      </c>
      <c r="F251" s="6">
        <v>429.0</v>
      </c>
      <c r="G251" s="6">
        <f t="shared" si="2"/>
        <v>49</v>
      </c>
    </row>
    <row r="252">
      <c r="A252" s="6">
        <v>5.553957443E9</v>
      </c>
      <c r="B252" s="7">
        <v>42494.0</v>
      </c>
      <c r="C252" s="8">
        <f t="shared" si="1"/>
        <v>42494</v>
      </c>
      <c r="D252" s="6">
        <v>1.0</v>
      </c>
      <c r="E252" s="6">
        <v>447.0</v>
      </c>
      <c r="F252" s="6">
        <v>470.0</v>
      </c>
      <c r="G252" s="6">
        <f t="shared" si="2"/>
        <v>23</v>
      </c>
    </row>
    <row r="253">
      <c r="A253" s="6">
        <v>5.553957443E9</v>
      </c>
      <c r="B253" s="7">
        <v>42495.0</v>
      </c>
      <c r="C253" s="8">
        <f t="shared" si="1"/>
        <v>42495</v>
      </c>
      <c r="D253" s="6">
        <v>1.0</v>
      </c>
      <c r="E253" s="6">
        <v>419.0</v>
      </c>
      <c r="F253" s="6">
        <v>464.0</v>
      </c>
      <c r="G253" s="6">
        <f t="shared" si="2"/>
        <v>45</v>
      </c>
    </row>
    <row r="254">
      <c r="A254" s="6">
        <v>5.553957443E9</v>
      </c>
      <c r="B254" s="7">
        <v>42496.0</v>
      </c>
      <c r="C254" s="8">
        <f t="shared" si="1"/>
        <v>42496</v>
      </c>
      <c r="D254" s="6">
        <v>1.0</v>
      </c>
      <c r="E254" s="6">
        <v>400.0</v>
      </c>
      <c r="F254" s="6">
        <v>434.0</v>
      </c>
      <c r="G254" s="6">
        <f t="shared" si="2"/>
        <v>34</v>
      </c>
    </row>
    <row r="255">
      <c r="A255" s="6">
        <v>5.553957443E9</v>
      </c>
      <c r="B255" s="7">
        <v>42497.0</v>
      </c>
      <c r="C255" s="8">
        <f t="shared" si="1"/>
        <v>42497</v>
      </c>
      <c r="D255" s="6">
        <v>1.0</v>
      </c>
      <c r="E255" s="6">
        <v>442.0</v>
      </c>
      <c r="F255" s="6">
        <v>470.0</v>
      </c>
      <c r="G255" s="6">
        <f t="shared" si="2"/>
        <v>28</v>
      </c>
    </row>
    <row r="256">
      <c r="A256" s="6">
        <v>5.553957443E9</v>
      </c>
      <c r="B256" s="7">
        <v>42498.0</v>
      </c>
      <c r="C256" s="8">
        <f t="shared" si="1"/>
        <v>42498</v>
      </c>
      <c r="D256" s="6">
        <v>1.0</v>
      </c>
      <c r="E256" s="6">
        <v>568.0</v>
      </c>
      <c r="F256" s="6">
        <v>608.0</v>
      </c>
      <c r="G256" s="6">
        <f t="shared" si="2"/>
        <v>40</v>
      </c>
    </row>
    <row r="257">
      <c r="A257" s="6">
        <v>5.553957443E9</v>
      </c>
      <c r="B257" s="7">
        <v>42499.0</v>
      </c>
      <c r="C257" s="8">
        <f t="shared" si="1"/>
        <v>42499</v>
      </c>
      <c r="D257" s="6">
        <v>1.0</v>
      </c>
      <c r="E257" s="6">
        <v>453.0</v>
      </c>
      <c r="F257" s="6">
        <v>494.0</v>
      </c>
      <c r="G257" s="6">
        <f t="shared" si="2"/>
        <v>41</v>
      </c>
    </row>
    <row r="258">
      <c r="A258" s="6">
        <v>5.553957443E9</v>
      </c>
      <c r="B258" s="7">
        <v>42500.0</v>
      </c>
      <c r="C258" s="8">
        <f t="shared" si="1"/>
        <v>42500</v>
      </c>
      <c r="D258" s="6">
        <v>1.0</v>
      </c>
      <c r="E258" s="6">
        <v>418.0</v>
      </c>
      <c r="F258" s="6">
        <v>443.0</v>
      </c>
      <c r="G258" s="6">
        <f t="shared" si="2"/>
        <v>25</v>
      </c>
    </row>
    <row r="259">
      <c r="A259" s="6">
        <v>5.553957443E9</v>
      </c>
      <c r="B259" s="7">
        <v>42501.0</v>
      </c>
      <c r="C259" s="8">
        <f t="shared" si="1"/>
        <v>42501</v>
      </c>
      <c r="D259" s="6">
        <v>1.0</v>
      </c>
      <c r="E259" s="6">
        <v>463.0</v>
      </c>
      <c r="F259" s="6">
        <v>486.0</v>
      </c>
      <c r="G259" s="6">
        <f t="shared" si="2"/>
        <v>23</v>
      </c>
    </row>
    <row r="260">
      <c r="A260" s="6">
        <v>5.553957443E9</v>
      </c>
      <c r="B260" s="7">
        <v>42502.0</v>
      </c>
      <c r="C260" s="8">
        <f t="shared" si="1"/>
        <v>42502</v>
      </c>
      <c r="D260" s="6">
        <v>1.0</v>
      </c>
      <c r="E260" s="6">
        <v>438.0</v>
      </c>
      <c r="F260" s="6">
        <v>475.0</v>
      </c>
      <c r="G260" s="6">
        <f t="shared" si="2"/>
        <v>37</v>
      </c>
    </row>
    <row r="261">
      <c r="A261" s="6">
        <v>5.577150313E9</v>
      </c>
      <c r="B261" s="7">
        <v>42472.0</v>
      </c>
      <c r="C261" s="8">
        <f t="shared" si="1"/>
        <v>42472</v>
      </c>
      <c r="D261" s="6">
        <v>1.0</v>
      </c>
      <c r="E261" s="6">
        <v>419.0</v>
      </c>
      <c r="F261" s="6">
        <v>438.0</v>
      </c>
      <c r="G261" s="6">
        <f t="shared" si="2"/>
        <v>19</v>
      </c>
    </row>
    <row r="262">
      <c r="A262" s="6">
        <v>5.577150313E9</v>
      </c>
      <c r="B262" s="7">
        <v>42473.0</v>
      </c>
      <c r="C262" s="8">
        <f t="shared" si="1"/>
        <v>42473</v>
      </c>
      <c r="D262" s="6">
        <v>1.0</v>
      </c>
      <c r="E262" s="6">
        <v>432.0</v>
      </c>
      <c r="F262" s="6">
        <v>458.0</v>
      </c>
      <c r="G262" s="6">
        <f t="shared" si="2"/>
        <v>26</v>
      </c>
    </row>
    <row r="263">
      <c r="A263" s="6">
        <v>5.577150313E9</v>
      </c>
      <c r="B263" s="7">
        <v>42474.0</v>
      </c>
      <c r="C263" s="8">
        <f t="shared" si="1"/>
        <v>42474</v>
      </c>
      <c r="D263" s="6">
        <v>1.0</v>
      </c>
      <c r="E263" s="6">
        <v>477.0</v>
      </c>
      <c r="F263" s="6">
        <v>497.0</v>
      </c>
      <c r="G263" s="6">
        <f t="shared" si="2"/>
        <v>20</v>
      </c>
    </row>
    <row r="264">
      <c r="A264" s="6">
        <v>5.577150313E9</v>
      </c>
      <c r="B264" s="7">
        <v>42475.0</v>
      </c>
      <c r="C264" s="8">
        <f t="shared" si="1"/>
        <v>42475</v>
      </c>
      <c r="D264" s="6">
        <v>1.0</v>
      </c>
      <c r="E264" s="6">
        <v>392.0</v>
      </c>
      <c r="F264" s="6">
        <v>413.0</v>
      </c>
      <c r="G264" s="6">
        <f t="shared" si="2"/>
        <v>21</v>
      </c>
    </row>
    <row r="265">
      <c r="A265" s="6">
        <v>5.577150313E9</v>
      </c>
      <c r="B265" s="7">
        <v>42476.0</v>
      </c>
      <c r="C265" s="8">
        <f t="shared" si="1"/>
        <v>42476</v>
      </c>
      <c r="D265" s="6">
        <v>1.0</v>
      </c>
      <c r="E265" s="6">
        <v>406.0</v>
      </c>
      <c r="F265" s="6">
        <v>445.0</v>
      </c>
      <c r="G265" s="6">
        <f t="shared" si="2"/>
        <v>39</v>
      </c>
    </row>
    <row r="266">
      <c r="A266" s="6">
        <v>5.577150313E9</v>
      </c>
      <c r="B266" s="7">
        <v>42477.0</v>
      </c>
      <c r="C266" s="8">
        <f t="shared" si="1"/>
        <v>42477</v>
      </c>
      <c r="D266" s="6">
        <v>1.0</v>
      </c>
      <c r="E266" s="6">
        <v>549.0</v>
      </c>
      <c r="F266" s="6">
        <v>583.0</v>
      </c>
      <c r="G266" s="6">
        <f t="shared" si="2"/>
        <v>34</v>
      </c>
    </row>
    <row r="267">
      <c r="A267" s="6">
        <v>5.577150313E9</v>
      </c>
      <c r="B267" s="7">
        <v>42478.0</v>
      </c>
      <c r="C267" s="8">
        <f t="shared" si="1"/>
        <v>42478</v>
      </c>
      <c r="D267" s="6">
        <v>1.0</v>
      </c>
      <c r="E267" s="6">
        <v>527.0</v>
      </c>
      <c r="F267" s="6">
        <v>553.0</v>
      </c>
      <c r="G267" s="6">
        <f t="shared" si="2"/>
        <v>26</v>
      </c>
    </row>
    <row r="268">
      <c r="A268" s="6">
        <v>5.577150313E9</v>
      </c>
      <c r="B268" s="7">
        <v>42479.0</v>
      </c>
      <c r="C268" s="8">
        <f t="shared" si="1"/>
        <v>42479</v>
      </c>
      <c r="D268" s="6">
        <v>1.0</v>
      </c>
      <c r="E268" s="6">
        <v>449.0</v>
      </c>
      <c r="F268" s="6">
        <v>465.0</v>
      </c>
      <c r="G268" s="6">
        <f t="shared" si="2"/>
        <v>16</v>
      </c>
    </row>
    <row r="269">
      <c r="A269" s="6">
        <v>5.577150313E9</v>
      </c>
      <c r="B269" s="7">
        <v>42480.0</v>
      </c>
      <c r="C269" s="8">
        <f t="shared" si="1"/>
        <v>42480</v>
      </c>
      <c r="D269" s="6">
        <v>1.0</v>
      </c>
      <c r="E269" s="6">
        <v>447.0</v>
      </c>
      <c r="F269" s="6">
        <v>480.0</v>
      </c>
      <c r="G269" s="6">
        <f t="shared" si="2"/>
        <v>33</v>
      </c>
    </row>
    <row r="270">
      <c r="A270" s="6">
        <v>5.577150313E9</v>
      </c>
      <c r="B270" s="7">
        <v>42481.0</v>
      </c>
      <c r="C270" s="8">
        <f t="shared" si="1"/>
        <v>42481</v>
      </c>
      <c r="D270" s="6">
        <v>1.0</v>
      </c>
      <c r="E270" s="6">
        <v>414.0</v>
      </c>
      <c r="F270" s="6">
        <v>437.0</v>
      </c>
      <c r="G270" s="6">
        <f t="shared" si="2"/>
        <v>23</v>
      </c>
    </row>
    <row r="271">
      <c r="A271" s="6">
        <v>5.577150313E9</v>
      </c>
      <c r="B271" s="7">
        <v>42482.0</v>
      </c>
      <c r="C271" s="8">
        <f t="shared" si="1"/>
        <v>42482</v>
      </c>
      <c r="D271" s="6">
        <v>1.0</v>
      </c>
      <c r="E271" s="6">
        <v>338.0</v>
      </c>
      <c r="F271" s="6">
        <v>366.0</v>
      </c>
      <c r="G271" s="6">
        <f t="shared" si="2"/>
        <v>28</v>
      </c>
    </row>
    <row r="272">
      <c r="A272" s="6">
        <v>5.577150313E9</v>
      </c>
      <c r="B272" s="7">
        <v>42483.0</v>
      </c>
      <c r="C272" s="8">
        <f t="shared" si="1"/>
        <v>42483</v>
      </c>
      <c r="D272" s="6">
        <v>1.0</v>
      </c>
      <c r="E272" s="6">
        <v>384.0</v>
      </c>
      <c r="F272" s="6">
        <v>402.0</v>
      </c>
      <c r="G272" s="6">
        <f t="shared" si="2"/>
        <v>18</v>
      </c>
    </row>
    <row r="273">
      <c r="A273" s="6">
        <v>5.577150313E9</v>
      </c>
      <c r="B273" s="7">
        <v>42484.0</v>
      </c>
      <c r="C273" s="8">
        <f t="shared" si="1"/>
        <v>42484</v>
      </c>
      <c r="D273" s="6">
        <v>1.0</v>
      </c>
      <c r="E273" s="6">
        <v>543.0</v>
      </c>
      <c r="F273" s="6">
        <v>615.0</v>
      </c>
      <c r="G273" s="6">
        <f t="shared" si="2"/>
        <v>72</v>
      </c>
    </row>
    <row r="274">
      <c r="A274" s="6">
        <v>5.577150313E9</v>
      </c>
      <c r="B274" s="7">
        <v>42485.0</v>
      </c>
      <c r="C274" s="8">
        <f t="shared" si="1"/>
        <v>42485</v>
      </c>
      <c r="D274" s="6">
        <v>1.0</v>
      </c>
      <c r="E274" s="6">
        <v>421.0</v>
      </c>
      <c r="F274" s="6">
        <v>461.0</v>
      </c>
      <c r="G274" s="6">
        <f t="shared" si="2"/>
        <v>40</v>
      </c>
    </row>
    <row r="275">
      <c r="A275" s="6">
        <v>5.577150313E9</v>
      </c>
      <c r="B275" s="7">
        <v>42486.0</v>
      </c>
      <c r="C275" s="8">
        <f t="shared" si="1"/>
        <v>42486</v>
      </c>
      <c r="D275" s="6">
        <v>1.0</v>
      </c>
      <c r="E275" s="6">
        <v>354.0</v>
      </c>
      <c r="F275" s="6">
        <v>377.0</v>
      </c>
      <c r="G275" s="6">
        <f t="shared" si="2"/>
        <v>23</v>
      </c>
    </row>
    <row r="276">
      <c r="A276" s="6">
        <v>5.577150313E9</v>
      </c>
      <c r="B276" s="7">
        <v>42487.0</v>
      </c>
      <c r="C276" s="8">
        <f t="shared" si="1"/>
        <v>42487</v>
      </c>
      <c r="D276" s="6">
        <v>1.0</v>
      </c>
      <c r="E276" s="6">
        <v>424.0</v>
      </c>
      <c r="F276" s="6">
        <v>452.0</v>
      </c>
      <c r="G276" s="6">
        <f t="shared" si="2"/>
        <v>28</v>
      </c>
    </row>
    <row r="277">
      <c r="A277" s="6">
        <v>5.577150313E9</v>
      </c>
      <c r="B277" s="7">
        <v>42488.0</v>
      </c>
      <c r="C277" s="8">
        <f t="shared" si="1"/>
        <v>42488</v>
      </c>
      <c r="D277" s="6">
        <v>1.0</v>
      </c>
      <c r="E277" s="6">
        <v>361.0</v>
      </c>
      <c r="F277" s="6">
        <v>372.0</v>
      </c>
      <c r="G277" s="6">
        <f t="shared" si="2"/>
        <v>11</v>
      </c>
    </row>
    <row r="278">
      <c r="A278" s="6">
        <v>5.577150313E9</v>
      </c>
      <c r="B278" s="7">
        <v>42489.0</v>
      </c>
      <c r="C278" s="8">
        <f t="shared" si="1"/>
        <v>42489</v>
      </c>
      <c r="D278" s="6">
        <v>1.0</v>
      </c>
      <c r="E278" s="6">
        <v>459.0</v>
      </c>
      <c r="F278" s="6">
        <v>485.0</v>
      </c>
      <c r="G278" s="6">
        <f t="shared" si="2"/>
        <v>26</v>
      </c>
    </row>
    <row r="279">
      <c r="A279" s="6">
        <v>5.577150313E9</v>
      </c>
      <c r="B279" s="7">
        <v>42490.0</v>
      </c>
      <c r="C279" s="8">
        <f t="shared" si="1"/>
        <v>42490</v>
      </c>
      <c r="D279" s="6">
        <v>1.0</v>
      </c>
      <c r="E279" s="6">
        <v>412.0</v>
      </c>
      <c r="F279" s="6">
        <v>433.0</v>
      </c>
      <c r="G279" s="6">
        <f t="shared" si="2"/>
        <v>21</v>
      </c>
    </row>
    <row r="280">
      <c r="A280" s="6">
        <v>5.577150313E9</v>
      </c>
      <c r="B280" s="7">
        <v>42491.0</v>
      </c>
      <c r="C280" s="8">
        <f t="shared" si="1"/>
        <v>42491</v>
      </c>
      <c r="D280" s="6">
        <v>1.0</v>
      </c>
      <c r="E280" s="6">
        <v>379.0</v>
      </c>
      <c r="F280" s="6">
        <v>398.0</v>
      </c>
      <c r="G280" s="6">
        <f t="shared" si="2"/>
        <v>19</v>
      </c>
    </row>
    <row r="281">
      <c r="A281" s="6">
        <v>5.577150313E9</v>
      </c>
      <c r="B281" s="7">
        <v>42492.0</v>
      </c>
      <c r="C281" s="8">
        <f t="shared" si="1"/>
        <v>42492</v>
      </c>
      <c r="D281" s="6">
        <v>2.0</v>
      </c>
      <c r="E281" s="6">
        <v>525.0</v>
      </c>
      <c r="F281" s="6">
        <v>553.0</v>
      </c>
      <c r="G281" s="6">
        <f t="shared" si="2"/>
        <v>28</v>
      </c>
    </row>
    <row r="282">
      <c r="A282" s="6">
        <v>5.577150313E9</v>
      </c>
      <c r="B282" s="7">
        <v>42493.0</v>
      </c>
      <c r="C282" s="8">
        <f t="shared" si="1"/>
        <v>42493</v>
      </c>
      <c r="D282" s="6">
        <v>1.0</v>
      </c>
      <c r="E282" s="6">
        <v>508.0</v>
      </c>
      <c r="F282" s="6">
        <v>543.0</v>
      </c>
      <c r="G282" s="6">
        <f t="shared" si="2"/>
        <v>35</v>
      </c>
    </row>
    <row r="283">
      <c r="A283" s="6">
        <v>5.577150313E9</v>
      </c>
      <c r="B283" s="7">
        <v>42494.0</v>
      </c>
      <c r="C283" s="8">
        <f t="shared" si="1"/>
        <v>42494</v>
      </c>
      <c r="D283" s="6">
        <v>1.0</v>
      </c>
      <c r="E283" s="6">
        <v>603.0</v>
      </c>
      <c r="F283" s="6">
        <v>634.0</v>
      </c>
      <c r="G283" s="6">
        <f t="shared" si="2"/>
        <v>31</v>
      </c>
    </row>
    <row r="284">
      <c r="A284" s="6">
        <v>5.577150313E9</v>
      </c>
      <c r="B284" s="7">
        <v>42495.0</v>
      </c>
      <c r="C284" s="8">
        <f t="shared" si="1"/>
        <v>42495</v>
      </c>
      <c r="D284" s="6">
        <v>1.0</v>
      </c>
      <c r="E284" s="6">
        <v>74.0</v>
      </c>
      <c r="F284" s="6">
        <v>78.0</v>
      </c>
      <c r="G284" s="6">
        <f t="shared" si="2"/>
        <v>4</v>
      </c>
    </row>
    <row r="285">
      <c r="A285" s="6">
        <v>5.577150313E9</v>
      </c>
      <c r="B285" s="7">
        <v>42500.0</v>
      </c>
      <c r="C285" s="8">
        <f t="shared" si="1"/>
        <v>42500</v>
      </c>
      <c r="D285" s="6">
        <v>1.0</v>
      </c>
      <c r="E285" s="6">
        <v>504.0</v>
      </c>
      <c r="F285" s="6">
        <v>562.0</v>
      </c>
      <c r="G285" s="6">
        <f t="shared" si="2"/>
        <v>58</v>
      </c>
    </row>
    <row r="286">
      <c r="A286" s="6">
        <v>5.577150313E9</v>
      </c>
      <c r="B286" s="7">
        <v>42501.0</v>
      </c>
      <c r="C286" s="8">
        <f t="shared" si="1"/>
        <v>42501</v>
      </c>
      <c r="D286" s="6">
        <v>1.0</v>
      </c>
      <c r="E286" s="6">
        <v>431.0</v>
      </c>
      <c r="F286" s="6">
        <v>476.0</v>
      </c>
      <c r="G286" s="6">
        <f t="shared" si="2"/>
        <v>45</v>
      </c>
    </row>
    <row r="287">
      <c r="A287" s="6">
        <v>6.11766616E9</v>
      </c>
      <c r="B287" s="7">
        <v>42476.0</v>
      </c>
      <c r="C287" s="8">
        <f t="shared" si="1"/>
        <v>42476</v>
      </c>
      <c r="D287" s="6">
        <v>1.0</v>
      </c>
      <c r="E287" s="6">
        <v>380.0</v>
      </c>
      <c r="F287" s="6">
        <v>398.0</v>
      </c>
      <c r="G287" s="6">
        <f t="shared" si="2"/>
        <v>18</v>
      </c>
    </row>
    <row r="288">
      <c r="A288" s="6">
        <v>6.11766616E9</v>
      </c>
      <c r="B288" s="7">
        <v>42477.0</v>
      </c>
      <c r="C288" s="8">
        <f t="shared" si="1"/>
        <v>42477</v>
      </c>
      <c r="D288" s="6">
        <v>2.0</v>
      </c>
      <c r="E288" s="6">
        <v>336.0</v>
      </c>
      <c r="F288" s="6">
        <v>350.0</v>
      </c>
      <c r="G288" s="6">
        <f t="shared" si="2"/>
        <v>14</v>
      </c>
    </row>
    <row r="289">
      <c r="A289" s="6">
        <v>6.11766616E9</v>
      </c>
      <c r="B289" s="7">
        <v>42478.0</v>
      </c>
      <c r="C289" s="8">
        <f t="shared" si="1"/>
        <v>42478</v>
      </c>
      <c r="D289" s="6">
        <v>2.0</v>
      </c>
      <c r="E289" s="6">
        <v>493.0</v>
      </c>
      <c r="F289" s="6">
        <v>510.0</v>
      </c>
      <c r="G289" s="6">
        <f t="shared" si="2"/>
        <v>17</v>
      </c>
    </row>
    <row r="290">
      <c r="A290" s="6">
        <v>6.11766616E9</v>
      </c>
      <c r="B290" s="7">
        <v>42479.0</v>
      </c>
      <c r="C290" s="8">
        <f t="shared" si="1"/>
        <v>42479</v>
      </c>
      <c r="D290" s="6">
        <v>1.0</v>
      </c>
      <c r="E290" s="6">
        <v>465.0</v>
      </c>
      <c r="F290" s="6">
        <v>492.0</v>
      </c>
      <c r="G290" s="6">
        <f t="shared" si="2"/>
        <v>27</v>
      </c>
    </row>
    <row r="291">
      <c r="A291" s="6">
        <v>6.11766616E9</v>
      </c>
      <c r="B291" s="7">
        <v>42480.0</v>
      </c>
      <c r="C291" s="8">
        <f t="shared" si="1"/>
        <v>42480</v>
      </c>
      <c r="D291" s="6">
        <v>1.0</v>
      </c>
      <c r="E291" s="6">
        <v>474.0</v>
      </c>
      <c r="F291" s="6">
        <v>502.0</v>
      </c>
      <c r="G291" s="6">
        <f t="shared" si="2"/>
        <v>28</v>
      </c>
    </row>
    <row r="292">
      <c r="A292" s="6">
        <v>6.11766616E9</v>
      </c>
      <c r="B292" s="7">
        <v>42481.0</v>
      </c>
      <c r="C292" s="8">
        <f t="shared" si="1"/>
        <v>42481</v>
      </c>
      <c r="D292" s="6">
        <v>1.0</v>
      </c>
      <c r="E292" s="6">
        <v>508.0</v>
      </c>
      <c r="F292" s="6">
        <v>550.0</v>
      </c>
      <c r="G292" s="6">
        <f t="shared" si="2"/>
        <v>42</v>
      </c>
    </row>
    <row r="293">
      <c r="A293" s="6">
        <v>6.11766616E9</v>
      </c>
      <c r="B293" s="7">
        <v>42482.0</v>
      </c>
      <c r="C293" s="8">
        <f t="shared" si="1"/>
        <v>42482</v>
      </c>
      <c r="D293" s="6">
        <v>1.0</v>
      </c>
      <c r="E293" s="6">
        <v>480.0</v>
      </c>
      <c r="F293" s="6">
        <v>546.0</v>
      </c>
      <c r="G293" s="6">
        <f t="shared" si="2"/>
        <v>66</v>
      </c>
    </row>
    <row r="294">
      <c r="A294" s="6">
        <v>6.11766616E9</v>
      </c>
      <c r="B294" s="7">
        <v>42483.0</v>
      </c>
      <c r="C294" s="8">
        <f t="shared" si="1"/>
        <v>42483</v>
      </c>
      <c r="D294" s="6">
        <v>1.0</v>
      </c>
      <c r="E294" s="6">
        <v>492.0</v>
      </c>
      <c r="F294" s="6">
        <v>539.0</v>
      </c>
      <c r="G294" s="6">
        <f t="shared" si="2"/>
        <v>47</v>
      </c>
    </row>
    <row r="295">
      <c r="A295" s="6">
        <v>6.11766616E9</v>
      </c>
      <c r="B295" s="7">
        <v>42484.0</v>
      </c>
      <c r="C295" s="8">
        <f t="shared" si="1"/>
        <v>42484</v>
      </c>
      <c r="D295" s="6">
        <v>1.0</v>
      </c>
      <c r="E295" s="6">
        <v>353.0</v>
      </c>
      <c r="F295" s="6">
        <v>367.0</v>
      </c>
      <c r="G295" s="6">
        <f t="shared" si="2"/>
        <v>14</v>
      </c>
    </row>
    <row r="296">
      <c r="A296" s="6">
        <v>6.11766616E9</v>
      </c>
      <c r="B296" s="7">
        <v>42487.0</v>
      </c>
      <c r="C296" s="8">
        <f t="shared" si="1"/>
        <v>42487</v>
      </c>
      <c r="D296" s="6">
        <v>1.0</v>
      </c>
      <c r="E296" s="6">
        <v>542.0</v>
      </c>
      <c r="F296" s="6">
        <v>557.0</v>
      </c>
      <c r="G296" s="6">
        <f t="shared" si="2"/>
        <v>15</v>
      </c>
    </row>
    <row r="297">
      <c r="A297" s="6">
        <v>6.11766616E9</v>
      </c>
      <c r="B297" s="7">
        <v>42488.0</v>
      </c>
      <c r="C297" s="8">
        <f t="shared" si="1"/>
        <v>42488</v>
      </c>
      <c r="D297" s="6">
        <v>1.0</v>
      </c>
      <c r="E297" s="6">
        <v>393.0</v>
      </c>
      <c r="F297" s="6">
        <v>416.0</v>
      </c>
      <c r="G297" s="6">
        <f t="shared" si="2"/>
        <v>23</v>
      </c>
    </row>
    <row r="298">
      <c r="A298" s="6">
        <v>6.11766616E9</v>
      </c>
      <c r="B298" s="7">
        <v>42489.0</v>
      </c>
      <c r="C298" s="8">
        <f t="shared" si="1"/>
        <v>42489</v>
      </c>
      <c r="D298" s="6">
        <v>1.0</v>
      </c>
      <c r="E298" s="6">
        <v>600.0</v>
      </c>
      <c r="F298" s="6">
        <v>636.0</v>
      </c>
      <c r="G298" s="6">
        <f t="shared" si="2"/>
        <v>36</v>
      </c>
    </row>
    <row r="299">
      <c r="A299" s="6">
        <v>6.11766616E9</v>
      </c>
      <c r="B299" s="7">
        <v>42491.0</v>
      </c>
      <c r="C299" s="8">
        <f t="shared" si="1"/>
        <v>42491</v>
      </c>
      <c r="D299" s="6">
        <v>1.0</v>
      </c>
      <c r="E299" s="6">
        <v>507.0</v>
      </c>
      <c r="F299" s="6">
        <v>575.0</v>
      </c>
      <c r="G299" s="6">
        <f t="shared" si="2"/>
        <v>68</v>
      </c>
    </row>
    <row r="300">
      <c r="A300" s="6">
        <v>6.11766616E9</v>
      </c>
      <c r="B300" s="7">
        <v>42495.0</v>
      </c>
      <c r="C300" s="8">
        <f t="shared" si="1"/>
        <v>42495</v>
      </c>
      <c r="D300" s="6">
        <v>1.0</v>
      </c>
      <c r="E300" s="6">
        <v>392.0</v>
      </c>
      <c r="F300" s="6">
        <v>415.0</v>
      </c>
      <c r="G300" s="6">
        <f t="shared" si="2"/>
        <v>23</v>
      </c>
    </row>
    <row r="301">
      <c r="A301" s="6">
        <v>6.11766616E9</v>
      </c>
      <c r="B301" s="7">
        <v>42496.0</v>
      </c>
      <c r="C301" s="8">
        <f t="shared" si="1"/>
        <v>42496</v>
      </c>
      <c r="D301" s="6">
        <v>2.0</v>
      </c>
      <c r="E301" s="6">
        <v>658.0</v>
      </c>
      <c r="F301" s="6">
        <v>698.0</v>
      </c>
      <c r="G301" s="6">
        <f t="shared" si="2"/>
        <v>40</v>
      </c>
    </row>
    <row r="302">
      <c r="A302" s="6">
        <v>6.11766616E9</v>
      </c>
      <c r="B302" s="7">
        <v>42497.0</v>
      </c>
      <c r="C302" s="8">
        <f t="shared" si="1"/>
        <v>42497</v>
      </c>
      <c r="D302" s="6">
        <v>2.0</v>
      </c>
      <c r="E302" s="6">
        <v>498.0</v>
      </c>
      <c r="F302" s="6">
        <v>507.0</v>
      </c>
      <c r="G302" s="6">
        <f t="shared" si="2"/>
        <v>9</v>
      </c>
    </row>
    <row r="303">
      <c r="A303" s="6">
        <v>6.11766616E9</v>
      </c>
      <c r="B303" s="7">
        <v>42498.0</v>
      </c>
      <c r="C303" s="8">
        <f t="shared" si="1"/>
        <v>42498</v>
      </c>
      <c r="D303" s="6">
        <v>1.0</v>
      </c>
      <c r="E303" s="6">
        <v>555.0</v>
      </c>
      <c r="F303" s="6">
        <v>603.0</v>
      </c>
      <c r="G303" s="6">
        <f t="shared" si="2"/>
        <v>48</v>
      </c>
    </row>
    <row r="304">
      <c r="A304" s="6">
        <v>6.11766616E9</v>
      </c>
      <c r="B304" s="7">
        <v>42499.0</v>
      </c>
      <c r="C304" s="8">
        <f t="shared" si="1"/>
        <v>42499</v>
      </c>
      <c r="D304" s="6">
        <v>1.0</v>
      </c>
      <c r="E304" s="6">
        <v>492.0</v>
      </c>
      <c r="F304" s="6">
        <v>522.0</v>
      </c>
      <c r="G304" s="6">
        <f t="shared" si="2"/>
        <v>30</v>
      </c>
    </row>
    <row r="305">
      <c r="A305" s="6">
        <v>6.775888955E9</v>
      </c>
      <c r="B305" s="7">
        <v>42473.0</v>
      </c>
      <c r="C305" s="8">
        <f t="shared" si="1"/>
        <v>42473</v>
      </c>
      <c r="D305" s="6">
        <v>1.0</v>
      </c>
      <c r="E305" s="6">
        <v>235.0</v>
      </c>
      <c r="F305" s="6">
        <v>260.0</v>
      </c>
      <c r="G305" s="6">
        <f t="shared" si="2"/>
        <v>25</v>
      </c>
    </row>
    <row r="306">
      <c r="A306" s="6">
        <v>6.775888955E9</v>
      </c>
      <c r="B306" s="7">
        <v>42474.0</v>
      </c>
      <c r="C306" s="8">
        <f t="shared" si="1"/>
        <v>42474</v>
      </c>
      <c r="D306" s="6">
        <v>1.0</v>
      </c>
      <c r="E306" s="6">
        <v>423.0</v>
      </c>
      <c r="F306" s="6">
        <v>441.0</v>
      </c>
      <c r="G306" s="6">
        <f t="shared" si="2"/>
        <v>18</v>
      </c>
    </row>
    <row r="307">
      <c r="A307" s="6">
        <v>6.775888955E9</v>
      </c>
      <c r="B307" s="7">
        <v>42475.0</v>
      </c>
      <c r="C307" s="8">
        <f t="shared" si="1"/>
        <v>42475</v>
      </c>
      <c r="D307" s="6">
        <v>1.0</v>
      </c>
      <c r="E307" s="6">
        <v>391.0</v>
      </c>
      <c r="F307" s="6">
        <v>406.0</v>
      </c>
      <c r="G307" s="6">
        <f t="shared" si="2"/>
        <v>15</v>
      </c>
    </row>
    <row r="308">
      <c r="A308" s="6">
        <v>6.962181067E9</v>
      </c>
      <c r="B308" s="7">
        <v>42472.0</v>
      </c>
      <c r="C308" s="8">
        <f t="shared" si="1"/>
        <v>42472</v>
      </c>
      <c r="D308" s="6">
        <v>1.0</v>
      </c>
      <c r="E308" s="6">
        <v>366.0</v>
      </c>
      <c r="F308" s="6">
        <v>387.0</v>
      </c>
      <c r="G308" s="6">
        <f t="shared" si="2"/>
        <v>21</v>
      </c>
    </row>
    <row r="309">
      <c r="A309" s="6">
        <v>6.962181067E9</v>
      </c>
      <c r="B309" s="7">
        <v>42473.0</v>
      </c>
      <c r="C309" s="8">
        <f t="shared" si="1"/>
        <v>42473</v>
      </c>
      <c r="D309" s="6">
        <v>3.0</v>
      </c>
      <c r="E309" s="6">
        <v>630.0</v>
      </c>
      <c r="F309" s="6">
        <v>679.0</v>
      </c>
      <c r="G309" s="6">
        <f t="shared" si="2"/>
        <v>49</v>
      </c>
    </row>
    <row r="310">
      <c r="A310" s="6">
        <v>6.962181067E9</v>
      </c>
      <c r="B310" s="7">
        <v>42474.0</v>
      </c>
      <c r="C310" s="8">
        <f t="shared" si="1"/>
        <v>42474</v>
      </c>
      <c r="D310" s="6">
        <v>2.0</v>
      </c>
      <c r="E310" s="6">
        <v>508.0</v>
      </c>
      <c r="F310" s="6">
        <v>535.0</v>
      </c>
      <c r="G310" s="6">
        <f t="shared" si="2"/>
        <v>27</v>
      </c>
    </row>
    <row r="311">
      <c r="A311" s="6">
        <v>6.962181067E9</v>
      </c>
      <c r="B311" s="7">
        <v>42475.0</v>
      </c>
      <c r="C311" s="8">
        <f t="shared" si="1"/>
        <v>42475</v>
      </c>
      <c r="D311" s="6">
        <v>1.0</v>
      </c>
      <c r="E311" s="6">
        <v>370.0</v>
      </c>
      <c r="F311" s="6">
        <v>386.0</v>
      </c>
      <c r="G311" s="6">
        <f t="shared" si="2"/>
        <v>16</v>
      </c>
    </row>
    <row r="312">
      <c r="A312" s="6">
        <v>6.962181067E9</v>
      </c>
      <c r="B312" s="7">
        <v>42476.0</v>
      </c>
      <c r="C312" s="8">
        <f t="shared" si="1"/>
        <v>42476</v>
      </c>
      <c r="D312" s="6">
        <v>1.0</v>
      </c>
      <c r="E312" s="6">
        <v>357.0</v>
      </c>
      <c r="F312" s="6">
        <v>366.0</v>
      </c>
      <c r="G312" s="6">
        <f t="shared" si="2"/>
        <v>9</v>
      </c>
    </row>
    <row r="313">
      <c r="A313" s="6">
        <v>6.962181067E9</v>
      </c>
      <c r="B313" s="7">
        <v>42477.0</v>
      </c>
      <c r="C313" s="8">
        <f t="shared" si="1"/>
        <v>42477</v>
      </c>
      <c r="D313" s="6">
        <v>1.0</v>
      </c>
      <c r="E313" s="6">
        <v>427.0</v>
      </c>
      <c r="F313" s="6">
        <v>446.0</v>
      </c>
      <c r="G313" s="6">
        <f t="shared" si="2"/>
        <v>19</v>
      </c>
    </row>
    <row r="314">
      <c r="A314" s="6">
        <v>6.962181067E9</v>
      </c>
      <c r="B314" s="7">
        <v>42478.0</v>
      </c>
      <c r="C314" s="8">
        <f t="shared" si="1"/>
        <v>42478</v>
      </c>
      <c r="D314" s="6">
        <v>1.0</v>
      </c>
      <c r="E314" s="6">
        <v>442.0</v>
      </c>
      <c r="F314" s="6">
        <v>458.0</v>
      </c>
      <c r="G314" s="6">
        <f t="shared" si="2"/>
        <v>16</v>
      </c>
    </row>
    <row r="315">
      <c r="A315" s="6">
        <v>6.962181067E9</v>
      </c>
      <c r="B315" s="7">
        <v>42479.0</v>
      </c>
      <c r="C315" s="8">
        <f t="shared" si="1"/>
        <v>42479</v>
      </c>
      <c r="D315" s="6">
        <v>1.0</v>
      </c>
      <c r="E315" s="6">
        <v>476.0</v>
      </c>
      <c r="F315" s="6">
        <v>535.0</v>
      </c>
      <c r="G315" s="6">
        <f t="shared" si="2"/>
        <v>59</v>
      </c>
    </row>
    <row r="316">
      <c r="A316" s="6">
        <v>6.962181067E9</v>
      </c>
      <c r="B316" s="7">
        <v>42480.0</v>
      </c>
      <c r="C316" s="8">
        <f t="shared" si="1"/>
        <v>42480</v>
      </c>
      <c r="D316" s="6">
        <v>1.0</v>
      </c>
      <c r="E316" s="6">
        <v>418.0</v>
      </c>
      <c r="F316" s="6">
        <v>424.0</v>
      </c>
      <c r="G316" s="6">
        <f t="shared" si="2"/>
        <v>6</v>
      </c>
    </row>
    <row r="317">
      <c r="A317" s="6">
        <v>6.962181067E9</v>
      </c>
      <c r="B317" s="7">
        <v>42481.0</v>
      </c>
      <c r="C317" s="8">
        <f t="shared" si="1"/>
        <v>42481</v>
      </c>
      <c r="D317" s="6">
        <v>1.0</v>
      </c>
      <c r="E317" s="6">
        <v>451.0</v>
      </c>
      <c r="F317" s="6">
        <v>457.0</v>
      </c>
      <c r="G317" s="6">
        <f t="shared" si="2"/>
        <v>6</v>
      </c>
    </row>
    <row r="318">
      <c r="A318" s="6">
        <v>6.962181067E9</v>
      </c>
      <c r="B318" s="7">
        <v>42482.0</v>
      </c>
      <c r="C318" s="8">
        <f t="shared" si="1"/>
        <v>42482</v>
      </c>
      <c r="D318" s="6">
        <v>1.0</v>
      </c>
      <c r="E318" s="6">
        <v>425.0</v>
      </c>
      <c r="F318" s="6">
        <v>435.0</v>
      </c>
      <c r="G318" s="6">
        <f t="shared" si="2"/>
        <v>10</v>
      </c>
    </row>
    <row r="319">
      <c r="A319" s="6">
        <v>6.962181067E9</v>
      </c>
      <c r="B319" s="7">
        <v>42483.0</v>
      </c>
      <c r="C319" s="8">
        <f t="shared" si="1"/>
        <v>42483</v>
      </c>
      <c r="D319" s="6">
        <v>1.0</v>
      </c>
      <c r="E319" s="6">
        <v>528.0</v>
      </c>
      <c r="F319" s="6">
        <v>546.0</v>
      </c>
      <c r="G319" s="6">
        <f t="shared" si="2"/>
        <v>18</v>
      </c>
    </row>
    <row r="320">
      <c r="A320" s="6">
        <v>6.962181067E9</v>
      </c>
      <c r="B320" s="7">
        <v>42484.0</v>
      </c>
      <c r="C320" s="8">
        <f t="shared" si="1"/>
        <v>42484</v>
      </c>
      <c r="D320" s="6">
        <v>1.0</v>
      </c>
      <c r="E320" s="6">
        <v>511.0</v>
      </c>
      <c r="F320" s="6">
        <v>514.0</v>
      </c>
      <c r="G320" s="6">
        <f t="shared" si="2"/>
        <v>3</v>
      </c>
    </row>
    <row r="321">
      <c r="A321" s="6">
        <v>6.962181067E9</v>
      </c>
      <c r="B321" s="7">
        <v>42485.0</v>
      </c>
      <c r="C321" s="8">
        <f t="shared" si="1"/>
        <v>42485</v>
      </c>
      <c r="D321" s="6">
        <v>1.0</v>
      </c>
      <c r="E321" s="6">
        <v>400.0</v>
      </c>
      <c r="F321" s="6">
        <v>415.0</v>
      </c>
      <c r="G321" s="6">
        <f t="shared" si="2"/>
        <v>15</v>
      </c>
    </row>
    <row r="322">
      <c r="A322" s="6">
        <v>6.962181067E9</v>
      </c>
      <c r="B322" s="7">
        <v>42486.0</v>
      </c>
      <c r="C322" s="8">
        <f t="shared" si="1"/>
        <v>42486</v>
      </c>
      <c r="D322" s="6">
        <v>1.0</v>
      </c>
      <c r="E322" s="6">
        <v>441.0</v>
      </c>
      <c r="F322" s="6">
        <v>446.0</v>
      </c>
      <c r="G322" s="6">
        <f t="shared" si="2"/>
        <v>5</v>
      </c>
    </row>
    <row r="323">
      <c r="A323" s="6">
        <v>6.962181067E9</v>
      </c>
      <c r="B323" s="7">
        <v>42487.0</v>
      </c>
      <c r="C323" s="8">
        <f t="shared" si="1"/>
        <v>42487</v>
      </c>
      <c r="D323" s="6">
        <v>1.0</v>
      </c>
      <c r="E323" s="6">
        <v>455.0</v>
      </c>
      <c r="F323" s="6">
        <v>467.0</v>
      </c>
      <c r="G323" s="6">
        <f t="shared" si="2"/>
        <v>12</v>
      </c>
    </row>
    <row r="324">
      <c r="A324" s="6">
        <v>6.962181067E9</v>
      </c>
      <c r="B324" s="7">
        <v>42488.0</v>
      </c>
      <c r="C324" s="8">
        <f t="shared" si="1"/>
        <v>42488</v>
      </c>
      <c r="D324" s="6">
        <v>1.0</v>
      </c>
      <c r="E324" s="6">
        <v>440.0</v>
      </c>
      <c r="F324" s="6">
        <v>453.0</v>
      </c>
      <c r="G324" s="6">
        <f t="shared" si="2"/>
        <v>13</v>
      </c>
    </row>
    <row r="325">
      <c r="A325" s="6">
        <v>6.962181067E9</v>
      </c>
      <c r="B325" s="7">
        <v>42489.0</v>
      </c>
      <c r="C325" s="8">
        <f t="shared" si="1"/>
        <v>42489</v>
      </c>
      <c r="D325" s="6">
        <v>1.0</v>
      </c>
      <c r="E325" s="6">
        <v>433.0</v>
      </c>
      <c r="F325" s="6">
        <v>447.0</v>
      </c>
      <c r="G325" s="6">
        <f t="shared" si="2"/>
        <v>14</v>
      </c>
    </row>
    <row r="326">
      <c r="A326" s="6">
        <v>6.962181067E9</v>
      </c>
      <c r="B326" s="7">
        <v>42490.0</v>
      </c>
      <c r="C326" s="8">
        <f t="shared" si="1"/>
        <v>42490</v>
      </c>
      <c r="D326" s="6">
        <v>1.0</v>
      </c>
      <c r="E326" s="6">
        <v>422.0</v>
      </c>
      <c r="F326" s="6">
        <v>424.0</v>
      </c>
      <c r="G326" s="6">
        <f t="shared" si="2"/>
        <v>2</v>
      </c>
    </row>
    <row r="327">
      <c r="A327" s="6">
        <v>6.962181067E9</v>
      </c>
      <c r="B327" s="7">
        <v>42491.0</v>
      </c>
      <c r="C327" s="8">
        <f t="shared" si="1"/>
        <v>42491</v>
      </c>
      <c r="D327" s="6">
        <v>1.0</v>
      </c>
      <c r="E327" s="6">
        <v>411.0</v>
      </c>
      <c r="F327" s="6">
        <v>426.0</v>
      </c>
      <c r="G327" s="6">
        <f t="shared" si="2"/>
        <v>15</v>
      </c>
    </row>
    <row r="328">
      <c r="A328" s="6">
        <v>6.962181067E9</v>
      </c>
      <c r="B328" s="7">
        <v>42492.0</v>
      </c>
      <c r="C328" s="8">
        <f t="shared" si="1"/>
        <v>42492</v>
      </c>
      <c r="D328" s="6">
        <v>1.0</v>
      </c>
      <c r="E328" s="6">
        <v>466.0</v>
      </c>
      <c r="F328" s="6">
        <v>482.0</v>
      </c>
      <c r="G328" s="6">
        <f t="shared" si="2"/>
        <v>16</v>
      </c>
    </row>
    <row r="329">
      <c r="A329" s="6">
        <v>6.962181067E9</v>
      </c>
      <c r="B329" s="7">
        <v>42493.0</v>
      </c>
      <c r="C329" s="8">
        <f t="shared" si="1"/>
        <v>42493</v>
      </c>
      <c r="D329" s="6">
        <v>1.0</v>
      </c>
      <c r="E329" s="6">
        <v>394.0</v>
      </c>
      <c r="F329" s="6">
        <v>418.0</v>
      </c>
      <c r="G329" s="6">
        <f t="shared" si="2"/>
        <v>24</v>
      </c>
    </row>
    <row r="330">
      <c r="A330" s="6">
        <v>6.962181067E9</v>
      </c>
      <c r="B330" s="7">
        <v>42494.0</v>
      </c>
      <c r="C330" s="8">
        <f t="shared" si="1"/>
        <v>42494</v>
      </c>
      <c r="D330" s="6">
        <v>1.0</v>
      </c>
      <c r="E330" s="6">
        <v>442.0</v>
      </c>
      <c r="F330" s="6">
        <v>455.0</v>
      </c>
      <c r="G330" s="6">
        <f t="shared" si="2"/>
        <v>13</v>
      </c>
    </row>
    <row r="331">
      <c r="A331" s="6">
        <v>6.962181067E9</v>
      </c>
      <c r="B331" s="7">
        <v>42495.0</v>
      </c>
      <c r="C331" s="8">
        <f t="shared" si="1"/>
        <v>42495</v>
      </c>
      <c r="D331" s="6">
        <v>1.0</v>
      </c>
      <c r="E331" s="6">
        <v>467.0</v>
      </c>
      <c r="F331" s="6">
        <v>491.0</v>
      </c>
      <c r="G331" s="6">
        <f t="shared" si="2"/>
        <v>24</v>
      </c>
    </row>
    <row r="332">
      <c r="A332" s="6">
        <v>6.962181067E9</v>
      </c>
      <c r="B332" s="7">
        <v>42496.0</v>
      </c>
      <c r="C332" s="8">
        <f t="shared" si="1"/>
        <v>42496</v>
      </c>
      <c r="D332" s="6">
        <v>1.0</v>
      </c>
      <c r="E332" s="6">
        <v>443.0</v>
      </c>
      <c r="F332" s="6">
        <v>462.0</v>
      </c>
      <c r="G332" s="6">
        <f t="shared" si="2"/>
        <v>19</v>
      </c>
    </row>
    <row r="333">
      <c r="A333" s="6">
        <v>6.962181067E9</v>
      </c>
      <c r="B333" s="7">
        <v>42497.0</v>
      </c>
      <c r="C333" s="8">
        <f t="shared" si="1"/>
        <v>42497</v>
      </c>
      <c r="D333" s="6">
        <v>1.0</v>
      </c>
      <c r="E333" s="6">
        <v>298.0</v>
      </c>
      <c r="F333" s="6">
        <v>334.0</v>
      </c>
      <c r="G333" s="6">
        <f t="shared" si="2"/>
        <v>36</v>
      </c>
    </row>
    <row r="334">
      <c r="A334" s="6">
        <v>6.962181067E9</v>
      </c>
      <c r="B334" s="7">
        <v>42498.0</v>
      </c>
      <c r="C334" s="8">
        <f t="shared" si="1"/>
        <v>42498</v>
      </c>
      <c r="D334" s="6">
        <v>1.0</v>
      </c>
      <c r="E334" s="6">
        <v>541.0</v>
      </c>
      <c r="F334" s="6">
        <v>569.0</v>
      </c>
      <c r="G334" s="6">
        <f t="shared" si="2"/>
        <v>28</v>
      </c>
    </row>
    <row r="335">
      <c r="A335" s="6">
        <v>6.962181067E9</v>
      </c>
      <c r="B335" s="7">
        <v>42499.0</v>
      </c>
      <c r="C335" s="8">
        <f t="shared" si="1"/>
        <v>42499</v>
      </c>
      <c r="D335" s="6">
        <v>1.0</v>
      </c>
      <c r="E335" s="6">
        <v>489.0</v>
      </c>
      <c r="F335" s="6">
        <v>497.0</v>
      </c>
      <c r="G335" s="6">
        <f t="shared" si="2"/>
        <v>8</v>
      </c>
    </row>
    <row r="336">
      <c r="A336" s="6">
        <v>6.962181067E9</v>
      </c>
      <c r="B336" s="7">
        <v>42500.0</v>
      </c>
      <c r="C336" s="8">
        <f t="shared" si="1"/>
        <v>42500</v>
      </c>
      <c r="D336" s="6">
        <v>1.0</v>
      </c>
      <c r="E336" s="6">
        <v>469.0</v>
      </c>
      <c r="F336" s="6">
        <v>481.0</v>
      </c>
      <c r="G336" s="6">
        <f t="shared" si="2"/>
        <v>12</v>
      </c>
    </row>
    <row r="337">
      <c r="A337" s="6">
        <v>6.962181067E9</v>
      </c>
      <c r="B337" s="7">
        <v>42501.0</v>
      </c>
      <c r="C337" s="8">
        <f t="shared" si="1"/>
        <v>42501</v>
      </c>
      <c r="D337" s="6">
        <v>1.0</v>
      </c>
      <c r="E337" s="6">
        <v>452.0</v>
      </c>
      <c r="F337" s="6">
        <v>480.0</v>
      </c>
      <c r="G337" s="6">
        <f t="shared" si="2"/>
        <v>28</v>
      </c>
    </row>
    <row r="338">
      <c r="A338" s="6">
        <v>6.962181067E9</v>
      </c>
      <c r="B338" s="7">
        <v>42502.0</v>
      </c>
      <c r="C338" s="8">
        <f t="shared" si="1"/>
        <v>42502</v>
      </c>
      <c r="D338" s="6">
        <v>1.0</v>
      </c>
      <c r="E338" s="6">
        <v>516.0</v>
      </c>
      <c r="F338" s="6">
        <v>535.0</v>
      </c>
      <c r="G338" s="6">
        <f t="shared" si="2"/>
        <v>19</v>
      </c>
    </row>
    <row r="339">
      <c r="A339" s="6">
        <v>7.007744171E9</v>
      </c>
      <c r="B339" s="7">
        <v>42476.0</v>
      </c>
      <c r="C339" s="8">
        <f t="shared" si="1"/>
        <v>42476</v>
      </c>
      <c r="D339" s="6">
        <v>1.0</v>
      </c>
      <c r="E339" s="6">
        <v>79.0</v>
      </c>
      <c r="F339" s="6">
        <v>82.0</v>
      </c>
      <c r="G339" s="6">
        <f t="shared" si="2"/>
        <v>3</v>
      </c>
    </row>
    <row r="340">
      <c r="A340" s="6">
        <v>7.007744171E9</v>
      </c>
      <c r="B340" s="7">
        <v>42491.0</v>
      </c>
      <c r="C340" s="8">
        <f t="shared" si="1"/>
        <v>42491</v>
      </c>
      <c r="D340" s="6">
        <v>1.0</v>
      </c>
      <c r="E340" s="6">
        <v>58.0</v>
      </c>
      <c r="F340" s="6">
        <v>61.0</v>
      </c>
      <c r="G340" s="6">
        <f t="shared" si="2"/>
        <v>3</v>
      </c>
    </row>
    <row r="341">
      <c r="A341" s="6">
        <v>7.086361926E9</v>
      </c>
      <c r="B341" s="7">
        <v>42472.0</v>
      </c>
      <c r="C341" s="8">
        <f t="shared" si="1"/>
        <v>42472</v>
      </c>
      <c r="D341" s="6">
        <v>1.0</v>
      </c>
      <c r="E341" s="6">
        <v>514.0</v>
      </c>
      <c r="F341" s="6">
        <v>525.0</v>
      </c>
      <c r="G341" s="6">
        <f t="shared" si="2"/>
        <v>11</v>
      </c>
    </row>
    <row r="342">
      <c r="A342" s="6">
        <v>7.086361926E9</v>
      </c>
      <c r="B342" s="7">
        <v>42473.0</v>
      </c>
      <c r="C342" s="8">
        <f t="shared" si="1"/>
        <v>42473</v>
      </c>
      <c r="D342" s="6">
        <v>1.0</v>
      </c>
      <c r="E342" s="6">
        <v>451.0</v>
      </c>
      <c r="F342" s="6">
        <v>465.0</v>
      </c>
      <c r="G342" s="6">
        <f t="shared" si="2"/>
        <v>14</v>
      </c>
    </row>
    <row r="343">
      <c r="A343" s="6">
        <v>7.086361926E9</v>
      </c>
      <c r="B343" s="7">
        <v>42474.0</v>
      </c>
      <c r="C343" s="8">
        <f t="shared" si="1"/>
        <v>42474</v>
      </c>
      <c r="D343" s="6">
        <v>1.0</v>
      </c>
      <c r="E343" s="6">
        <v>472.0</v>
      </c>
      <c r="F343" s="6">
        <v>476.0</v>
      </c>
      <c r="G343" s="6">
        <f t="shared" si="2"/>
        <v>4</v>
      </c>
    </row>
    <row r="344">
      <c r="A344" s="6">
        <v>7.086361926E9</v>
      </c>
      <c r="B344" s="7">
        <v>42475.0</v>
      </c>
      <c r="C344" s="8">
        <f t="shared" si="1"/>
        <v>42475</v>
      </c>
      <c r="D344" s="6">
        <v>1.0</v>
      </c>
      <c r="E344" s="6">
        <v>377.0</v>
      </c>
      <c r="F344" s="6">
        <v>386.0</v>
      </c>
      <c r="G344" s="6">
        <f t="shared" si="2"/>
        <v>9</v>
      </c>
    </row>
    <row r="345">
      <c r="A345" s="6">
        <v>7.086361926E9</v>
      </c>
      <c r="B345" s="7">
        <v>42479.0</v>
      </c>
      <c r="C345" s="8">
        <f t="shared" si="1"/>
        <v>42479</v>
      </c>
      <c r="D345" s="6">
        <v>1.0</v>
      </c>
      <c r="E345" s="6">
        <v>472.0</v>
      </c>
      <c r="F345" s="6">
        <v>483.0</v>
      </c>
      <c r="G345" s="6">
        <f t="shared" si="2"/>
        <v>11</v>
      </c>
    </row>
    <row r="346">
      <c r="A346" s="6">
        <v>7.086361926E9</v>
      </c>
      <c r="B346" s="7">
        <v>42480.0</v>
      </c>
      <c r="C346" s="8">
        <f t="shared" si="1"/>
        <v>42480</v>
      </c>
      <c r="D346" s="6">
        <v>1.0</v>
      </c>
      <c r="E346" s="6">
        <v>492.0</v>
      </c>
      <c r="F346" s="6">
        <v>502.0</v>
      </c>
      <c r="G346" s="6">
        <f t="shared" si="2"/>
        <v>10</v>
      </c>
    </row>
    <row r="347">
      <c r="A347" s="6">
        <v>7.086361926E9</v>
      </c>
      <c r="B347" s="7">
        <v>42481.0</v>
      </c>
      <c r="C347" s="8">
        <f t="shared" si="1"/>
        <v>42481</v>
      </c>
      <c r="D347" s="6">
        <v>1.0</v>
      </c>
      <c r="E347" s="6">
        <v>390.0</v>
      </c>
      <c r="F347" s="6">
        <v>411.0</v>
      </c>
      <c r="G347" s="6">
        <f t="shared" si="2"/>
        <v>21</v>
      </c>
    </row>
    <row r="348">
      <c r="A348" s="6">
        <v>7.086361926E9</v>
      </c>
      <c r="B348" s="7">
        <v>42482.0</v>
      </c>
      <c r="C348" s="8">
        <f t="shared" si="1"/>
        <v>42482</v>
      </c>
      <c r="D348" s="6">
        <v>1.0</v>
      </c>
      <c r="E348" s="6">
        <v>428.0</v>
      </c>
      <c r="F348" s="6">
        <v>448.0</v>
      </c>
      <c r="G348" s="6">
        <f t="shared" si="2"/>
        <v>20</v>
      </c>
    </row>
    <row r="349">
      <c r="A349" s="6">
        <v>7.086361926E9</v>
      </c>
      <c r="B349" s="7">
        <v>42484.0</v>
      </c>
      <c r="C349" s="8">
        <f t="shared" si="1"/>
        <v>42484</v>
      </c>
      <c r="D349" s="6">
        <v>1.0</v>
      </c>
      <c r="E349" s="6">
        <v>681.0</v>
      </c>
      <c r="F349" s="6">
        <v>704.0</v>
      </c>
      <c r="G349" s="6">
        <f t="shared" si="2"/>
        <v>23</v>
      </c>
    </row>
    <row r="350">
      <c r="A350" s="6">
        <v>7.086361926E9</v>
      </c>
      <c r="B350" s="7">
        <v>42485.0</v>
      </c>
      <c r="C350" s="8">
        <f t="shared" si="1"/>
        <v>42485</v>
      </c>
      <c r="D350" s="6">
        <v>1.0</v>
      </c>
      <c r="E350" s="6">
        <v>446.0</v>
      </c>
      <c r="F350" s="6">
        <v>447.0</v>
      </c>
      <c r="G350" s="6">
        <f t="shared" si="2"/>
        <v>1</v>
      </c>
    </row>
    <row r="351">
      <c r="A351" s="6">
        <v>7.086361926E9</v>
      </c>
      <c r="B351" s="7">
        <v>42486.0</v>
      </c>
      <c r="C351" s="8">
        <f t="shared" si="1"/>
        <v>42486</v>
      </c>
      <c r="D351" s="6">
        <v>1.0</v>
      </c>
      <c r="E351" s="6">
        <v>485.0</v>
      </c>
      <c r="F351" s="6">
        <v>500.0</v>
      </c>
      <c r="G351" s="6">
        <f t="shared" si="2"/>
        <v>15</v>
      </c>
    </row>
    <row r="352">
      <c r="A352" s="6">
        <v>7.086361926E9</v>
      </c>
      <c r="B352" s="7">
        <v>42487.0</v>
      </c>
      <c r="C352" s="8">
        <f t="shared" si="1"/>
        <v>42487</v>
      </c>
      <c r="D352" s="6">
        <v>1.0</v>
      </c>
      <c r="E352" s="6">
        <v>469.0</v>
      </c>
      <c r="F352" s="6">
        <v>479.0</v>
      </c>
      <c r="G352" s="6">
        <f t="shared" si="2"/>
        <v>10</v>
      </c>
    </row>
    <row r="353">
      <c r="A353" s="6">
        <v>7.086361926E9</v>
      </c>
      <c r="B353" s="7">
        <v>42488.0</v>
      </c>
      <c r="C353" s="8">
        <f t="shared" si="1"/>
        <v>42488</v>
      </c>
      <c r="D353" s="6">
        <v>1.0</v>
      </c>
      <c r="E353" s="6">
        <v>354.0</v>
      </c>
      <c r="F353" s="6">
        <v>367.0</v>
      </c>
      <c r="G353" s="6">
        <f t="shared" si="2"/>
        <v>13</v>
      </c>
    </row>
    <row r="354">
      <c r="A354" s="6">
        <v>7.086361926E9</v>
      </c>
      <c r="B354" s="7">
        <v>42490.0</v>
      </c>
      <c r="C354" s="8">
        <f t="shared" si="1"/>
        <v>42490</v>
      </c>
      <c r="D354" s="6">
        <v>1.0</v>
      </c>
      <c r="E354" s="6">
        <v>485.0</v>
      </c>
      <c r="F354" s="6">
        <v>489.0</v>
      </c>
      <c r="G354" s="6">
        <f t="shared" si="2"/>
        <v>4</v>
      </c>
    </row>
    <row r="355">
      <c r="A355" s="6">
        <v>7.086361926E9</v>
      </c>
      <c r="B355" s="7">
        <v>42491.0</v>
      </c>
      <c r="C355" s="8">
        <f t="shared" si="1"/>
        <v>42491</v>
      </c>
      <c r="D355" s="6">
        <v>1.0</v>
      </c>
      <c r="E355" s="6">
        <v>388.0</v>
      </c>
      <c r="F355" s="6">
        <v>407.0</v>
      </c>
      <c r="G355" s="6">
        <f t="shared" si="2"/>
        <v>19</v>
      </c>
    </row>
    <row r="356">
      <c r="A356" s="6">
        <v>7.086361926E9</v>
      </c>
      <c r="B356" s="7">
        <v>42492.0</v>
      </c>
      <c r="C356" s="8">
        <f t="shared" si="1"/>
        <v>42492</v>
      </c>
      <c r="D356" s="6">
        <v>1.0</v>
      </c>
      <c r="E356" s="6">
        <v>440.0</v>
      </c>
      <c r="F356" s="6">
        <v>459.0</v>
      </c>
      <c r="G356" s="6">
        <f t="shared" si="2"/>
        <v>19</v>
      </c>
    </row>
    <row r="357">
      <c r="A357" s="6">
        <v>7.086361926E9</v>
      </c>
      <c r="B357" s="7">
        <v>42493.0</v>
      </c>
      <c r="C357" s="8">
        <f t="shared" si="1"/>
        <v>42493</v>
      </c>
      <c r="D357" s="6">
        <v>1.0</v>
      </c>
      <c r="E357" s="6">
        <v>456.0</v>
      </c>
      <c r="F357" s="6">
        <v>461.0</v>
      </c>
      <c r="G357" s="6">
        <f t="shared" si="2"/>
        <v>5</v>
      </c>
    </row>
    <row r="358">
      <c r="A358" s="6">
        <v>7.086361926E9</v>
      </c>
      <c r="B358" s="7">
        <v>42494.0</v>
      </c>
      <c r="C358" s="8">
        <f t="shared" si="1"/>
        <v>42494</v>
      </c>
      <c r="D358" s="6">
        <v>1.0</v>
      </c>
      <c r="E358" s="6">
        <v>420.0</v>
      </c>
      <c r="F358" s="6">
        <v>436.0</v>
      </c>
      <c r="G358" s="6">
        <f t="shared" si="2"/>
        <v>16</v>
      </c>
    </row>
    <row r="359">
      <c r="A359" s="6">
        <v>7.086361926E9</v>
      </c>
      <c r="B359" s="7">
        <v>42496.0</v>
      </c>
      <c r="C359" s="8">
        <f t="shared" si="1"/>
        <v>42496</v>
      </c>
      <c r="D359" s="6">
        <v>1.0</v>
      </c>
      <c r="E359" s="6">
        <v>322.0</v>
      </c>
      <c r="F359" s="6">
        <v>333.0</v>
      </c>
      <c r="G359" s="6">
        <f t="shared" si="2"/>
        <v>11</v>
      </c>
    </row>
    <row r="360">
      <c r="A360" s="6">
        <v>7.086361926E9</v>
      </c>
      <c r="B360" s="7">
        <v>42497.0</v>
      </c>
      <c r="C360" s="8">
        <f t="shared" si="1"/>
        <v>42497</v>
      </c>
      <c r="D360" s="6">
        <v>1.0</v>
      </c>
      <c r="E360" s="6">
        <v>530.0</v>
      </c>
      <c r="F360" s="6">
        <v>548.0</v>
      </c>
      <c r="G360" s="6">
        <f t="shared" si="2"/>
        <v>18</v>
      </c>
    </row>
    <row r="361">
      <c r="A361" s="6">
        <v>7.086361926E9</v>
      </c>
      <c r="B361" s="7">
        <v>42498.0</v>
      </c>
      <c r="C361" s="8">
        <f t="shared" si="1"/>
        <v>42498</v>
      </c>
      <c r="D361" s="6">
        <v>1.0</v>
      </c>
      <c r="E361" s="6">
        <v>481.0</v>
      </c>
      <c r="F361" s="6">
        <v>510.0</v>
      </c>
      <c r="G361" s="6">
        <f t="shared" si="2"/>
        <v>29</v>
      </c>
    </row>
    <row r="362">
      <c r="A362" s="6">
        <v>7.086361926E9</v>
      </c>
      <c r="B362" s="7">
        <v>42499.0</v>
      </c>
      <c r="C362" s="8">
        <f t="shared" si="1"/>
        <v>42499</v>
      </c>
      <c r="D362" s="6">
        <v>1.0</v>
      </c>
      <c r="E362" s="6">
        <v>427.0</v>
      </c>
      <c r="F362" s="6">
        <v>438.0</v>
      </c>
      <c r="G362" s="6">
        <f t="shared" si="2"/>
        <v>11</v>
      </c>
    </row>
    <row r="363">
      <c r="A363" s="6">
        <v>7.086361926E9</v>
      </c>
      <c r="B363" s="7">
        <v>42501.0</v>
      </c>
      <c r="C363" s="8">
        <f t="shared" si="1"/>
        <v>42501</v>
      </c>
      <c r="D363" s="6">
        <v>1.0</v>
      </c>
      <c r="E363" s="6">
        <v>451.0</v>
      </c>
      <c r="F363" s="6">
        <v>463.0</v>
      </c>
      <c r="G363" s="6">
        <f t="shared" si="2"/>
        <v>12</v>
      </c>
    </row>
    <row r="364">
      <c r="A364" s="6">
        <v>7.086361926E9</v>
      </c>
      <c r="B364" s="7">
        <v>42502.0</v>
      </c>
      <c r="C364" s="8">
        <f t="shared" si="1"/>
        <v>42502</v>
      </c>
      <c r="D364" s="6">
        <v>1.0</v>
      </c>
      <c r="E364" s="6">
        <v>444.0</v>
      </c>
      <c r="F364" s="6">
        <v>457.0</v>
      </c>
      <c r="G364" s="6">
        <f t="shared" si="2"/>
        <v>13</v>
      </c>
    </row>
    <row r="365">
      <c r="A365" s="6">
        <v>8.053475328E9</v>
      </c>
      <c r="B365" s="7">
        <v>42480.0</v>
      </c>
      <c r="C365" s="8">
        <f t="shared" si="1"/>
        <v>42480</v>
      </c>
      <c r="D365" s="6">
        <v>1.0</v>
      </c>
      <c r="E365" s="6">
        <v>486.0</v>
      </c>
      <c r="F365" s="6">
        <v>493.0</v>
      </c>
      <c r="G365" s="6">
        <f t="shared" si="2"/>
        <v>7</v>
      </c>
    </row>
    <row r="366">
      <c r="A366" s="6">
        <v>8.053475328E9</v>
      </c>
      <c r="B366" s="7">
        <v>42483.0</v>
      </c>
      <c r="C366" s="8">
        <f t="shared" si="1"/>
        <v>42483</v>
      </c>
      <c r="D366" s="6">
        <v>1.0</v>
      </c>
      <c r="E366" s="6">
        <v>331.0</v>
      </c>
      <c r="F366" s="6">
        <v>337.0</v>
      </c>
      <c r="G366" s="6">
        <f t="shared" si="2"/>
        <v>6</v>
      </c>
    </row>
    <row r="367">
      <c r="A367" s="6">
        <v>8.053475328E9</v>
      </c>
      <c r="B367" s="7">
        <v>42497.0</v>
      </c>
      <c r="C367" s="8">
        <f t="shared" si="1"/>
        <v>42497</v>
      </c>
      <c r="D367" s="6">
        <v>1.0</v>
      </c>
      <c r="E367" s="6">
        <v>74.0</v>
      </c>
      <c r="F367" s="6">
        <v>75.0</v>
      </c>
      <c r="G367" s="6">
        <f t="shared" si="2"/>
        <v>1</v>
      </c>
    </row>
    <row r="368">
      <c r="A368" s="6">
        <v>8.3785632E9</v>
      </c>
      <c r="B368" s="7">
        <v>42472.0</v>
      </c>
      <c r="C368" s="8">
        <f t="shared" si="1"/>
        <v>42472</v>
      </c>
      <c r="D368" s="6">
        <v>1.0</v>
      </c>
      <c r="E368" s="6">
        <v>338.0</v>
      </c>
      <c r="F368" s="6">
        <v>356.0</v>
      </c>
      <c r="G368" s="6">
        <f t="shared" si="2"/>
        <v>18</v>
      </c>
    </row>
    <row r="369">
      <c r="A369" s="6">
        <v>8.3785632E9</v>
      </c>
      <c r="B369" s="7">
        <v>42473.0</v>
      </c>
      <c r="C369" s="8">
        <f t="shared" si="1"/>
        <v>42473</v>
      </c>
      <c r="D369" s="6">
        <v>2.0</v>
      </c>
      <c r="E369" s="6">
        <v>447.0</v>
      </c>
      <c r="F369" s="6">
        <v>487.0</v>
      </c>
      <c r="G369" s="6">
        <f t="shared" si="2"/>
        <v>40</v>
      </c>
    </row>
    <row r="370">
      <c r="A370" s="6">
        <v>8.3785632E9</v>
      </c>
      <c r="B370" s="7">
        <v>42474.0</v>
      </c>
      <c r="C370" s="8">
        <f t="shared" si="1"/>
        <v>42474</v>
      </c>
      <c r="D370" s="6">
        <v>1.0</v>
      </c>
      <c r="E370" s="6">
        <v>424.0</v>
      </c>
      <c r="F370" s="6">
        <v>455.0</v>
      </c>
      <c r="G370" s="6">
        <f t="shared" si="2"/>
        <v>31</v>
      </c>
    </row>
    <row r="371">
      <c r="A371" s="6">
        <v>8.3785632E9</v>
      </c>
      <c r="B371" s="7">
        <v>42475.0</v>
      </c>
      <c r="C371" s="8">
        <f t="shared" si="1"/>
        <v>42475</v>
      </c>
      <c r="D371" s="6">
        <v>1.0</v>
      </c>
      <c r="E371" s="6">
        <v>513.0</v>
      </c>
      <c r="F371" s="6">
        <v>533.0</v>
      </c>
      <c r="G371" s="6">
        <f t="shared" si="2"/>
        <v>20</v>
      </c>
    </row>
    <row r="372">
      <c r="A372" s="6">
        <v>8.3785632E9</v>
      </c>
      <c r="B372" s="7">
        <v>42476.0</v>
      </c>
      <c r="C372" s="8">
        <f t="shared" si="1"/>
        <v>42476</v>
      </c>
      <c r="D372" s="6">
        <v>2.0</v>
      </c>
      <c r="E372" s="6">
        <v>611.0</v>
      </c>
      <c r="F372" s="6">
        <v>689.0</v>
      </c>
      <c r="G372" s="6">
        <f t="shared" si="2"/>
        <v>78</v>
      </c>
    </row>
    <row r="373">
      <c r="A373" s="6">
        <v>8.3785632E9</v>
      </c>
      <c r="B373" s="7">
        <v>42477.0</v>
      </c>
      <c r="C373" s="8">
        <f t="shared" si="1"/>
        <v>42477</v>
      </c>
      <c r="D373" s="6">
        <v>2.0</v>
      </c>
      <c r="E373" s="6">
        <v>525.0</v>
      </c>
      <c r="F373" s="6">
        <v>591.0</v>
      </c>
      <c r="G373" s="6">
        <f t="shared" si="2"/>
        <v>66</v>
      </c>
    </row>
    <row r="374">
      <c r="A374" s="6">
        <v>8.3785632E9</v>
      </c>
      <c r="B374" s="7">
        <v>42478.0</v>
      </c>
      <c r="C374" s="8">
        <f t="shared" si="1"/>
        <v>42478</v>
      </c>
      <c r="D374" s="6">
        <v>1.0</v>
      </c>
      <c r="E374" s="6">
        <v>398.0</v>
      </c>
      <c r="F374" s="6">
        <v>451.0</v>
      </c>
      <c r="G374" s="6">
        <f t="shared" si="2"/>
        <v>53</v>
      </c>
    </row>
    <row r="375">
      <c r="A375" s="6">
        <v>8.3785632E9</v>
      </c>
      <c r="B375" s="7">
        <v>42479.0</v>
      </c>
      <c r="C375" s="8">
        <f t="shared" si="1"/>
        <v>42479</v>
      </c>
      <c r="D375" s="6">
        <v>1.0</v>
      </c>
      <c r="E375" s="6">
        <v>387.0</v>
      </c>
      <c r="F375" s="6">
        <v>421.0</v>
      </c>
      <c r="G375" s="6">
        <f t="shared" si="2"/>
        <v>34</v>
      </c>
    </row>
    <row r="376">
      <c r="A376" s="6">
        <v>8.3785632E9</v>
      </c>
      <c r="B376" s="7">
        <v>42480.0</v>
      </c>
      <c r="C376" s="8">
        <f t="shared" si="1"/>
        <v>42480</v>
      </c>
      <c r="D376" s="6">
        <v>1.0</v>
      </c>
      <c r="E376" s="6">
        <v>381.0</v>
      </c>
      <c r="F376" s="6">
        <v>409.0</v>
      </c>
      <c r="G376" s="6">
        <f t="shared" si="2"/>
        <v>28</v>
      </c>
    </row>
    <row r="377">
      <c r="A377" s="6">
        <v>8.3785632E9</v>
      </c>
      <c r="B377" s="7">
        <v>42481.0</v>
      </c>
      <c r="C377" s="8">
        <f t="shared" si="1"/>
        <v>42481</v>
      </c>
      <c r="D377" s="6">
        <v>1.0</v>
      </c>
      <c r="E377" s="6">
        <v>396.0</v>
      </c>
      <c r="F377" s="6">
        <v>417.0</v>
      </c>
      <c r="G377" s="6">
        <f t="shared" si="2"/>
        <v>21</v>
      </c>
    </row>
    <row r="378">
      <c r="A378" s="6">
        <v>8.3785632E9</v>
      </c>
      <c r="B378" s="7">
        <v>42482.0</v>
      </c>
      <c r="C378" s="8">
        <f t="shared" si="1"/>
        <v>42482</v>
      </c>
      <c r="D378" s="6">
        <v>1.0</v>
      </c>
      <c r="E378" s="6">
        <v>441.0</v>
      </c>
      <c r="F378" s="6">
        <v>469.0</v>
      </c>
      <c r="G378" s="6">
        <f t="shared" si="2"/>
        <v>28</v>
      </c>
    </row>
    <row r="379">
      <c r="A379" s="6">
        <v>8.3785632E9</v>
      </c>
      <c r="B379" s="7">
        <v>42483.0</v>
      </c>
      <c r="C379" s="8">
        <f t="shared" si="1"/>
        <v>42483</v>
      </c>
      <c r="D379" s="6">
        <v>1.0</v>
      </c>
      <c r="E379" s="6">
        <v>565.0</v>
      </c>
      <c r="F379" s="6">
        <v>591.0</v>
      </c>
      <c r="G379" s="6">
        <f t="shared" si="2"/>
        <v>26</v>
      </c>
    </row>
    <row r="380">
      <c r="A380" s="6">
        <v>8.3785632E9</v>
      </c>
      <c r="B380" s="7">
        <v>42484.0</v>
      </c>
      <c r="C380" s="8">
        <f t="shared" si="1"/>
        <v>42484</v>
      </c>
      <c r="D380" s="6">
        <v>1.0</v>
      </c>
      <c r="E380" s="6">
        <v>458.0</v>
      </c>
      <c r="F380" s="6">
        <v>492.0</v>
      </c>
      <c r="G380" s="6">
        <f t="shared" si="2"/>
        <v>34</v>
      </c>
    </row>
    <row r="381">
      <c r="A381" s="6">
        <v>8.3785632E9</v>
      </c>
      <c r="B381" s="7">
        <v>42485.0</v>
      </c>
      <c r="C381" s="8">
        <f t="shared" si="1"/>
        <v>42485</v>
      </c>
      <c r="D381" s="6">
        <v>1.0</v>
      </c>
      <c r="E381" s="6">
        <v>388.0</v>
      </c>
      <c r="F381" s="6">
        <v>402.0</v>
      </c>
      <c r="G381" s="6">
        <f t="shared" si="2"/>
        <v>14</v>
      </c>
    </row>
    <row r="382">
      <c r="A382" s="6">
        <v>8.3785632E9</v>
      </c>
      <c r="B382" s="7">
        <v>42485.0</v>
      </c>
      <c r="C382" s="8">
        <f t="shared" si="1"/>
        <v>42485</v>
      </c>
      <c r="D382" s="6">
        <v>1.0</v>
      </c>
      <c r="E382" s="6">
        <v>388.0</v>
      </c>
      <c r="F382" s="6">
        <v>402.0</v>
      </c>
      <c r="G382" s="6">
        <f t="shared" si="2"/>
        <v>14</v>
      </c>
    </row>
    <row r="383">
      <c r="A383" s="6">
        <v>8.3785632E9</v>
      </c>
      <c r="B383" s="7">
        <v>42486.0</v>
      </c>
      <c r="C383" s="8">
        <f t="shared" si="1"/>
        <v>42486</v>
      </c>
      <c r="D383" s="6">
        <v>1.0</v>
      </c>
      <c r="E383" s="6">
        <v>550.0</v>
      </c>
      <c r="F383" s="6">
        <v>584.0</v>
      </c>
      <c r="G383" s="6">
        <f t="shared" si="2"/>
        <v>34</v>
      </c>
    </row>
    <row r="384">
      <c r="A384" s="6">
        <v>8.3785632E9</v>
      </c>
      <c r="B384" s="7">
        <v>42487.0</v>
      </c>
      <c r="C384" s="8">
        <f t="shared" si="1"/>
        <v>42487</v>
      </c>
      <c r="D384" s="6">
        <v>1.0</v>
      </c>
      <c r="E384" s="6">
        <v>531.0</v>
      </c>
      <c r="F384" s="6">
        <v>600.0</v>
      </c>
      <c r="G384" s="6">
        <f t="shared" si="2"/>
        <v>69</v>
      </c>
    </row>
    <row r="385">
      <c r="A385" s="6">
        <v>8.3785632E9</v>
      </c>
      <c r="B385" s="7">
        <v>42488.0</v>
      </c>
      <c r="C385" s="8">
        <f t="shared" si="1"/>
        <v>42488</v>
      </c>
      <c r="D385" s="6">
        <v>1.0</v>
      </c>
      <c r="E385" s="6">
        <v>506.0</v>
      </c>
      <c r="F385" s="6">
        <v>556.0</v>
      </c>
      <c r="G385" s="6">
        <f t="shared" si="2"/>
        <v>50</v>
      </c>
    </row>
    <row r="386">
      <c r="A386" s="6">
        <v>8.3785632E9</v>
      </c>
      <c r="B386" s="7">
        <v>42489.0</v>
      </c>
      <c r="C386" s="8">
        <f t="shared" si="1"/>
        <v>42489</v>
      </c>
      <c r="D386" s="6">
        <v>1.0</v>
      </c>
      <c r="E386" s="6">
        <v>527.0</v>
      </c>
      <c r="F386" s="6">
        <v>562.0</v>
      </c>
      <c r="G386" s="6">
        <f t="shared" si="2"/>
        <v>35</v>
      </c>
    </row>
    <row r="387">
      <c r="A387" s="6">
        <v>8.3785632E9</v>
      </c>
      <c r="B387" s="7">
        <v>42490.0</v>
      </c>
      <c r="C387" s="8">
        <f t="shared" si="1"/>
        <v>42490</v>
      </c>
      <c r="D387" s="6">
        <v>1.0</v>
      </c>
      <c r="E387" s="6">
        <v>468.0</v>
      </c>
      <c r="F387" s="6">
        <v>555.0</v>
      </c>
      <c r="G387" s="6">
        <f t="shared" si="2"/>
        <v>87</v>
      </c>
    </row>
    <row r="388">
      <c r="A388" s="6">
        <v>8.3785632E9</v>
      </c>
      <c r="B388" s="7">
        <v>42491.0</v>
      </c>
      <c r="C388" s="8">
        <f t="shared" si="1"/>
        <v>42491</v>
      </c>
      <c r="D388" s="6">
        <v>1.0</v>
      </c>
      <c r="E388" s="6">
        <v>475.0</v>
      </c>
      <c r="F388" s="6">
        <v>539.0</v>
      </c>
      <c r="G388" s="6">
        <f t="shared" si="2"/>
        <v>64</v>
      </c>
    </row>
    <row r="389">
      <c r="A389" s="6">
        <v>8.3785632E9</v>
      </c>
      <c r="B389" s="7">
        <v>42492.0</v>
      </c>
      <c r="C389" s="8">
        <f t="shared" si="1"/>
        <v>42492</v>
      </c>
      <c r="D389" s="6">
        <v>1.0</v>
      </c>
      <c r="E389" s="6">
        <v>351.0</v>
      </c>
      <c r="F389" s="6">
        <v>385.0</v>
      </c>
      <c r="G389" s="6">
        <f t="shared" si="2"/>
        <v>34</v>
      </c>
    </row>
    <row r="390">
      <c r="A390" s="6">
        <v>8.3785632E9</v>
      </c>
      <c r="B390" s="7">
        <v>42493.0</v>
      </c>
      <c r="C390" s="8">
        <f t="shared" si="1"/>
        <v>42493</v>
      </c>
      <c r="D390" s="6">
        <v>1.0</v>
      </c>
      <c r="E390" s="6">
        <v>405.0</v>
      </c>
      <c r="F390" s="6">
        <v>429.0</v>
      </c>
      <c r="G390" s="6">
        <f t="shared" si="2"/>
        <v>24</v>
      </c>
    </row>
    <row r="391">
      <c r="A391" s="6">
        <v>8.3785632E9</v>
      </c>
      <c r="B391" s="7">
        <v>42494.0</v>
      </c>
      <c r="C391" s="8">
        <f t="shared" si="1"/>
        <v>42494</v>
      </c>
      <c r="D391" s="6">
        <v>1.0</v>
      </c>
      <c r="E391" s="6">
        <v>441.0</v>
      </c>
      <c r="F391" s="6">
        <v>477.0</v>
      </c>
      <c r="G391" s="6">
        <f t="shared" si="2"/>
        <v>36</v>
      </c>
    </row>
    <row r="392">
      <c r="A392" s="6">
        <v>8.3785632E9</v>
      </c>
      <c r="B392" s="7">
        <v>42495.0</v>
      </c>
      <c r="C392" s="8">
        <f t="shared" si="1"/>
        <v>42495</v>
      </c>
      <c r="D392" s="6">
        <v>1.0</v>
      </c>
      <c r="E392" s="6">
        <v>381.0</v>
      </c>
      <c r="F392" s="6">
        <v>417.0</v>
      </c>
      <c r="G392" s="6">
        <f t="shared" si="2"/>
        <v>36</v>
      </c>
    </row>
    <row r="393">
      <c r="A393" s="6">
        <v>8.3785632E9</v>
      </c>
      <c r="B393" s="7">
        <v>42496.0</v>
      </c>
      <c r="C393" s="8">
        <f t="shared" si="1"/>
        <v>42496</v>
      </c>
      <c r="D393" s="6">
        <v>1.0</v>
      </c>
      <c r="E393" s="6">
        <v>323.0</v>
      </c>
      <c r="F393" s="6">
        <v>355.0</v>
      </c>
      <c r="G393" s="6">
        <f t="shared" si="2"/>
        <v>32</v>
      </c>
    </row>
    <row r="394">
      <c r="A394" s="6">
        <v>8.3785632E9</v>
      </c>
      <c r="B394" s="7">
        <v>42497.0</v>
      </c>
      <c r="C394" s="8">
        <f t="shared" si="1"/>
        <v>42497</v>
      </c>
      <c r="D394" s="6">
        <v>2.0</v>
      </c>
      <c r="E394" s="6">
        <v>459.0</v>
      </c>
      <c r="F394" s="6">
        <v>513.0</v>
      </c>
      <c r="G394" s="6">
        <f t="shared" si="2"/>
        <v>54</v>
      </c>
    </row>
    <row r="395">
      <c r="A395" s="6">
        <v>8.3785632E9</v>
      </c>
      <c r="B395" s="7">
        <v>42498.0</v>
      </c>
      <c r="C395" s="8">
        <f t="shared" si="1"/>
        <v>42498</v>
      </c>
      <c r="D395" s="6">
        <v>1.0</v>
      </c>
      <c r="E395" s="6">
        <v>545.0</v>
      </c>
      <c r="F395" s="6">
        <v>606.0</v>
      </c>
      <c r="G395" s="6">
        <f t="shared" si="2"/>
        <v>61</v>
      </c>
    </row>
    <row r="396">
      <c r="A396" s="6">
        <v>8.3785632E9</v>
      </c>
      <c r="B396" s="7">
        <v>42499.0</v>
      </c>
      <c r="C396" s="8">
        <f t="shared" si="1"/>
        <v>42499</v>
      </c>
      <c r="D396" s="6">
        <v>1.0</v>
      </c>
      <c r="E396" s="6">
        <v>359.0</v>
      </c>
      <c r="F396" s="6">
        <v>399.0</v>
      </c>
      <c r="G396" s="6">
        <f t="shared" si="2"/>
        <v>40</v>
      </c>
    </row>
    <row r="397">
      <c r="A397" s="6">
        <v>8.3785632E9</v>
      </c>
      <c r="B397" s="7">
        <v>42500.0</v>
      </c>
      <c r="C397" s="8">
        <f t="shared" si="1"/>
        <v>42500</v>
      </c>
      <c r="D397" s="6">
        <v>1.0</v>
      </c>
      <c r="E397" s="6">
        <v>342.0</v>
      </c>
      <c r="F397" s="6">
        <v>391.0</v>
      </c>
      <c r="G397" s="6">
        <f t="shared" si="2"/>
        <v>49</v>
      </c>
    </row>
    <row r="398">
      <c r="A398" s="6">
        <v>8.3785632E9</v>
      </c>
      <c r="B398" s="7">
        <v>42501.0</v>
      </c>
      <c r="C398" s="8">
        <f t="shared" si="1"/>
        <v>42501</v>
      </c>
      <c r="D398" s="6">
        <v>1.0</v>
      </c>
      <c r="E398" s="6">
        <v>368.0</v>
      </c>
      <c r="F398" s="6">
        <v>387.0</v>
      </c>
      <c r="G398" s="6">
        <f t="shared" si="2"/>
        <v>19</v>
      </c>
    </row>
    <row r="399">
      <c r="A399" s="6">
        <v>8.3785632E9</v>
      </c>
      <c r="B399" s="7">
        <v>42502.0</v>
      </c>
      <c r="C399" s="8">
        <f t="shared" si="1"/>
        <v>42502</v>
      </c>
      <c r="D399" s="6">
        <v>1.0</v>
      </c>
      <c r="E399" s="6">
        <v>496.0</v>
      </c>
      <c r="F399" s="6">
        <v>546.0</v>
      </c>
      <c r="G399" s="6">
        <f t="shared" si="2"/>
        <v>50</v>
      </c>
    </row>
    <row r="400">
      <c r="A400" s="6">
        <v>8.792009665E9</v>
      </c>
      <c r="B400" s="7">
        <v>42472.0</v>
      </c>
      <c r="C400" s="8">
        <f t="shared" si="1"/>
        <v>42472</v>
      </c>
      <c r="D400" s="6">
        <v>1.0</v>
      </c>
      <c r="E400" s="6">
        <v>458.0</v>
      </c>
      <c r="F400" s="6">
        <v>493.0</v>
      </c>
      <c r="G400" s="6">
        <f t="shared" si="2"/>
        <v>35</v>
      </c>
    </row>
    <row r="401">
      <c r="A401" s="6">
        <v>8.792009665E9</v>
      </c>
      <c r="B401" s="7">
        <v>42473.0</v>
      </c>
      <c r="C401" s="8">
        <f t="shared" si="1"/>
        <v>42473</v>
      </c>
      <c r="D401" s="6">
        <v>1.0</v>
      </c>
      <c r="E401" s="6">
        <v>531.0</v>
      </c>
      <c r="F401" s="6">
        <v>552.0</v>
      </c>
      <c r="G401" s="6">
        <f t="shared" si="2"/>
        <v>21</v>
      </c>
    </row>
    <row r="402">
      <c r="A402" s="6">
        <v>8.792009665E9</v>
      </c>
      <c r="B402" s="7">
        <v>42474.0</v>
      </c>
      <c r="C402" s="8">
        <f t="shared" si="1"/>
        <v>42474</v>
      </c>
      <c r="D402" s="6">
        <v>1.0</v>
      </c>
      <c r="E402" s="6">
        <v>486.0</v>
      </c>
      <c r="F402" s="6">
        <v>503.0</v>
      </c>
      <c r="G402" s="6">
        <f t="shared" si="2"/>
        <v>17</v>
      </c>
    </row>
    <row r="403">
      <c r="A403" s="6">
        <v>8.792009665E9</v>
      </c>
      <c r="B403" s="7">
        <v>42475.0</v>
      </c>
      <c r="C403" s="8">
        <f t="shared" si="1"/>
        <v>42475</v>
      </c>
      <c r="D403" s="6">
        <v>1.0</v>
      </c>
      <c r="E403" s="6">
        <v>363.0</v>
      </c>
      <c r="F403" s="6">
        <v>377.0</v>
      </c>
      <c r="G403" s="6">
        <f t="shared" si="2"/>
        <v>14</v>
      </c>
    </row>
    <row r="404">
      <c r="A404" s="6">
        <v>8.792009665E9</v>
      </c>
      <c r="B404" s="7">
        <v>42480.0</v>
      </c>
      <c r="C404" s="8">
        <f t="shared" si="1"/>
        <v>42480</v>
      </c>
      <c r="D404" s="6">
        <v>1.0</v>
      </c>
      <c r="E404" s="6">
        <v>528.0</v>
      </c>
      <c r="F404" s="6">
        <v>547.0</v>
      </c>
      <c r="G404" s="6">
        <f t="shared" si="2"/>
        <v>19</v>
      </c>
    </row>
    <row r="405">
      <c r="A405" s="6">
        <v>8.792009665E9</v>
      </c>
      <c r="B405" s="7">
        <v>42482.0</v>
      </c>
      <c r="C405" s="8">
        <f t="shared" si="1"/>
        <v>42482</v>
      </c>
      <c r="D405" s="6">
        <v>1.0</v>
      </c>
      <c r="E405" s="6">
        <v>391.0</v>
      </c>
      <c r="F405" s="6">
        <v>407.0</v>
      </c>
      <c r="G405" s="6">
        <f t="shared" si="2"/>
        <v>16</v>
      </c>
    </row>
    <row r="406">
      <c r="A406" s="6">
        <v>8.792009665E9</v>
      </c>
      <c r="B406" s="7">
        <v>42483.0</v>
      </c>
      <c r="C406" s="8">
        <f t="shared" si="1"/>
        <v>42483</v>
      </c>
      <c r="D406" s="6">
        <v>1.0</v>
      </c>
      <c r="E406" s="6">
        <v>339.0</v>
      </c>
      <c r="F406" s="6">
        <v>360.0</v>
      </c>
      <c r="G406" s="6">
        <f t="shared" si="2"/>
        <v>21</v>
      </c>
    </row>
    <row r="407">
      <c r="A407" s="6">
        <v>8.792009665E9</v>
      </c>
      <c r="B407" s="7">
        <v>42487.0</v>
      </c>
      <c r="C407" s="8">
        <f t="shared" si="1"/>
        <v>42487</v>
      </c>
      <c r="D407" s="6">
        <v>1.0</v>
      </c>
      <c r="E407" s="6">
        <v>423.0</v>
      </c>
      <c r="F407" s="6">
        <v>428.0</v>
      </c>
      <c r="G407" s="6">
        <f t="shared" si="2"/>
        <v>5</v>
      </c>
    </row>
    <row r="408">
      <c r="A408" s="6">
        <v>8.792009665E9</v>
      </c>
      <c r="B408" s="7">
        <v>42488.0</v>
      </c>
      <c r="C408" s="8">
        <f t="shared" si="1"/>
        <v>42488</v>
      </c>
      <c r="D408" s="6">
        <v>1.0</v>
      </c>
      <c r="E408" s="6">
        <v>402.0</v>
      </c>
      <c r="F408" s="6">
        <v>416.0</v>
      </c>
      <c r="G408" s="6">
        <f t="shared" si="2"/>
        <v>14</v>
      </c>
    </row>
    <row r="409">
      <c r="A409" s="6">
        <v>8.792009665E9</v>
      </c>
      <c r="B409" s="7">
        <v>42489.0</v>
      </c>
      <c r="C409" s="8">
        <f t="shared" si="1"/>
        <v>42489</v>
      </c>
      <c r="D409" s="6">
        <v>1.0</v>
      </c>
      <c r="E409" s="6">
        <v>398.0</v>
      </c>
      <c r="F409" s="6">
        <v>406.0</v>
      </c>
      <c r="G409" s="6">
        <f t="shared" si="2"/>
        <v>8</v>
      </c>
    </row>
    <row r="410">
      <c r="A410" s="6">
        <v>8.792009665E9</v>
      </c>
      <c r="B410" s="7">
        <v>42490.0</v>
      </c>
      <c r="C410" s="8">
        <f t="shared" si="1"/>
        <v>42490</v>
      </c>
      <c r="D410" s="6">
        <v>1.0</v>
      </c>
      <c r="E410" s="6">
        <v>343.0</v>
      </c>
      <c r="F410" s="6">
        <v>360.0</v>
      </c>
      <c r="G410" s="6">
        <f t="shared" si="2"/>
        <v>17</v>
      </c>
    </row>
    <row r="411">
      <c r="A411" s="6">
        <v>8.792009665E9</v>
      </c>
      <c r="B411" s="7">
        <v>42491.0</v>
      </c>
      <c r="C411" s="8">
        <f t="shared" si="1"/>
        <v>42491</v>
      </c>
      <c r="D411" s="6">
        <v>1.0</v>
      </c>
      <c r="E411" s="6">
        <v>503.0</v>
      </c>
      <c r="F411" s="6">
        <v>527.0</v>
      </c>
      <c r="G411" s="6">
        <f t="shared" si="2"/>
        <v>24</v>
      </c>
    </row>
    <row r="412">
      <c r="A412" s="6">
        <v>8.792009665E9</v>
      </c>
      <c r="B412" s="7">
        <v>42492.0</v>
      </c>
      <c r="C412" s="8">
        <f t="shared" si="1"/>
        <v>42492</v>
      </c>
      <c r="D412" s="6">
        <v>1.0</v>
      </c>
      <c r="E412" s="6">
        <v>415.0</v>
      </c>
      <c r="F412" s="6">
        <v>423.0</v>
      </c>
      <c r="G412" s="6">
        <f t="shared" si="2"/>
        <v>8</v>
      </c>
    </row>
    <row r="413">
      <c r="A413" s="6">
        <v>8.792009665E9</v>
      </c>
      <c r="B413" s="7">
        <v>42493.0</v>
      </c>
      <c r="C413" s="8">
        <f t="shared" si="1"/>
        <v>42493</v>
      </c>
      <c r="D413" s="6">
        <v>1.0</v>
      </c>
      <c r="E413" s="6">
        <v>516.0</v>
      </c>
      <c r="F413" s="6">
        <v>545.0</v>
      </c>
      <c r="G413" s="6">
        <f t="shared" si="2"/>
        <v>29</v>
      </c>
    </row>
    <row r="414">
      <c r="A414" s="6">
        <v>8.792009665E9</v>
      </c>
      <c r="B414" s="7">
        <v>42494.0</v>
      </c>
      <c r="C414" s="8">
        <f t="shared" si="1"/>
        <v>42494</v>
      </c>
      <c r="D414" s="6">
        <v>1.0</v>
      </c>
      <c r="E414" s="6">
        <v>439.0</v>
      </c>
      <c r="F414" s="6">
        <v>463.0</v>
      </c>
      <c r="G414" s="6">
        <f t="shared" si="2"/>
        <v>24</v>
      </c>
    </row>
  </sheetData>
  <autoFilter ref="$A$1:$AA$4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63"/>
  </cols>
  <sheetData>
    <row r="1">
      <c r="A1" s="6" t="s">
        <v>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</row>
    <row r="2">
      <c r="A2" s="9">
        <f t="array" ref="A2:A37">UNIQUE(Activity_merged!A2:A1000)</f>
        <v>1503960366</v>
      </c>
      <c r="B2" s="9">
        <f>AVERAGEIF(Activity_merged!A:A,A2,Activity_merged!D:D)</f>
        <v>11640.52632</v>
      </c>
      <c r="C2" s="9">
        <f>AVERAGEIF(Activity_merged!A:A,A2,Activity_merged!P:P)</f>
        <v>1796.210526</v>
      </c>
      <c r="D2" s="9">
        <f>AVERAGEIF(Activity_merged!A:A,A2,Activity_merged!E:E)</f>
        <v>7.607368451</v>
      </c>
      <c r="E2" s="9">
        <f>COUNTIF(Activity_merged!A:A,A2)</f>
        <v>19</v>
      </c>
      <c r="F2" s="9" t="str">
        <f t="shared" ref="F2:F36" si="1">IF(AND(B2=0,D2=0,E2&gt;0),"Missing Data","OK")</f>
        <v>OK</v>
      </c>
    </row>
    <row r="3">
      <c r="A3" s="9">
        <v>1.624580081E9</v>
      </c>
      <c r="B3" s="9">
        <f>AVERAGEIF(Activity_merged!A:A,A3,Activity_merged!D:D)</f>
        <v>4226.263158</v>
      </c>
      <c r="C3" s="9">
        <f>AVERAGEIF(Activity_merged!A:A,A3,Activity_merged!P:P)</f>
        <v>1352.894737</v>
      </c>
      <c r="D3" s="9">
        <f>AVERAGEIF(Activity_merged!A:A,A3,Activity_merged!E:E)</f>
        <v>2.746842077</v>
      </c>
      <c r="E3" s="9">
        <f>COUNTIF(Activity_merged!A:A,A3)</f>
        <v>19</v>
      </c>
      <c r="F3" s="9" t="str">
        <f t="shared" si="1"/>
        <v>OK</v>
      </c>
    </row>
    <row r="4">
      <c r="A4" s="9">
        <v>1.644430081E9</v>
      </c>
      <c r="B4" s="9">
        <f>AVERAGEIF(Activity_merged!A:A,A4,Activity_merged!D:D)</f>
        <v>9274.8</v>
      </c>
      <c r="C4" s="9">
        <f>AVERAGEIF(Activity_merged!A:A,A4,Activity_merged!P:P)</f>
        <v>2916.4</v>
      </c>
      <c r="D4" s="9">
        <f>AVERAGEIF(Activity_merged!A:A,A4,Activity_merged!E:E)</f>
        <v>6.749000001</v>
      </c>
      <c r="E4" s="9">
        <f>COUNTIF(Activity_merged!A:A,A4)</f>
        <v>10</v>
      </c>
      <c r="F4" s="9" t="str">
        <f t="shared" si="1"/>
        <v>OK</v>
      </c>
    </row>
    <row r="5">
      <c r="A5" s="9">
        <v>1.844505072E9</v>
      </c>
      <c r="B5" s="9">
        <f>AVERAGEIF(Activity_merged!A:A,A5,Activity_merged!D:D)</f>
        <v>3640.583333</v>
      </c>
      <c r="C5" s="9">
        <f>AVERAGEIF(Activity_merged!A:A,A5,Activity_merged!P:P)</f>
        <v>1615.916667</v>
      </c>
      <c r="D5" s="9">
        <f>AVERAGEIF(Activity_merged!A:A,A5,Activity_merged!E:E)</f>
        <v>2.406666686</v>
      </c>
      <c r="E5" s="9">
        <f>COUNTIF(Activity_merged!A:A,A5)</f>
        <v>12</v>
      </c>
      <c r="F5" s="9" t="str">
        <f t="shared" si="1"/>
        <v>OK</v>
      </c>
    </row>
    <row r="6">
      <c r="A6" s="9">
        <v>1.927972279E9</v>
      </c>
      <c r="B6" s="9">
        <f>AVERAGEIF(Activity_merged!A:A,A6,Activity_merged!D:D)</f>
        <v>2180.833333</v>
      </c>
      <c r="C6" s="9">
        <f>AVERAGEIF(Activity_merged!A:A,A6,Activity_merged!P:P)</f>
        <v>2254</v>
      </c>
      <c r="D6" s="9">
        <f>AVERAGEIF(Activity_merged!A:A,A6,Activity_merged!E:E)</f>
        <v>1.510833339</v>
      </c>
      <c r="E6" s="9">
        <f>COUNTIF(Activity_merged!A:A,A6)</f>
        <v>12</v>
      </c>
      <c r="F6" s="9" t="str">
        <f t="shared" si="1"/>
        <v>OK</v>
      </c>
    </row>
    <row r="7">
      <c r="A7" s="9">
        <v>2.022484408E9</v>
      </c>
      <c r="B7" s="9">
        <f>AVERAGEIF(Activity_merged!A:A,A7,Activity_merged!D:D)</f>
        <v>12174.91667</v>
      </c>
      <c r="C7" s="9">
        <f>AVERAGEIF(Activity_merged!A:A,A7,Activity_merged!P:P)</f>
        <v>2475.333333</v>
      </c>
      <c r="D7" s="9">
        <f>AVERAGEIF(Activity_merged!A:A,A7,Activity_merged!E:E)</f>
        <v>8.774166763</v>
      </c>
      <c r="E7" s="9">
        <f>COUNTIF(Activity_merged!A:A,A7)</f>
        <v>12</v>
      </c>
      <c r="F7" s="9" t="str">
        <f t="shared" si="1"/>
        <v>OK</v>
      </c>
    </row>
    <row r="8">
      <c r="A8" s="9">
        <v>2.026352035E9</v>
      </c>
      <c r="B8" s="9">
        <f>AVERAGEIF(Activity_merged!A:A,A8,Activity_merged!D:D)</f>
        <v>3392.75</v>
      </c>
      <c r="C8" s="9">
        <f>AVERAGEIF(Activity_merged!A:A,A8,Activity_merged!P:P)</f>
        <v>1355.5</v>
      </c>
      <c r="D8" s="9">
        <f>AVERAGEIF(Activity_merged!A:A,A8,Activity_merged!E:E)</f>
        <v>2.103333314</v>
      </c>
      <c r="E8" s="9">
        <f>COUNTIF(Activity_merged!A:A,A8)</f>
        <v>12</v>
      </c>
      <c r="F8" s="9" t="str">
        <f t="shared" si="1"/>
        <v>OK</v>
      </c>
    </row>
    <row r="9">
      <c r="A9" s="9">
        <v>2.320127002E9</v>
      </c>
      <c r="B9" s="9">
        <f>AVERAGEIF(Activity_merged!A:A,A9,Activity_merged!D:D)</f>
        <v>3138.416667</v>
      </c>
      <c r="C9" s="9">
        <f>AVERAGEIF(Activity_merged!A:A,A9,Activity_merged!P:P)</f>
        <v>1532.083333</v>
      </c>
      <c r="D9" s="9">
        <f>AVERAGEIF(Activity_merged!A:A,A9,Activity_merged!E:E)</f>
        <v>2.122499973</v>
      </c>
      <c r="E9" s="9">
        <f>COUNTIF(Activity_merged!A:A,A9)</f>
        <v>12</v>
      </c>
      <c r="F9" s="9" t="str">
        <f t="shared" si="1"/>
        <v>OK</v>
      </c>
    </row>
    <row r="10">
      <c r="A10" s="9">
        <v>2.347167796E9</v>
      </c>
      <c r="B10" s="9">
        <f>AVERAGEIF(Activity_merged!A:A,A10,Activity_merged!D:D)</f>
        <v>9800.066667</v>
      </c>
      <c r="C10" s="9">
        <f>AVERAGEIF(Activity_merged!A:A,A10,Activity_merged!P:P)</f>
        <v>2021.333333</v>
      </c>
      <c r="D10" s="9">
        <f>AVERAGEIF(Activity_merged!A:A,A10,Activity_merged!E:E)</f>
        <v>6.51133337</v>
      </c>
      <c r="E10" s="9">
        <f>COUNTIF(Activity_merged!A:A,A10)</f>
        <v>15</v>
      </c>
      <c r="F10" s="9" t="str">
        <f t="shared" si="1"/>
        <v>OK</v>
      </c>
    </row>
    <row r="11">
      <c r="A11" s="9">
        <v>2.873212765E9</v>
      </c>
      <c r="B11" s="9">
        <f>AVERAGEIF(Activity_merged!A:A,A11,Activity_merged!D:D)</f>
        <v>6636.583333</v>
      </c>
      <c r="C11" s="9">
        <f>AVERAGEIF(Activity_merged!A:A,A11,Activity_merged!P:P)</f>
        <v>1695.75</v>
      </c>
      <c r="D11" s="9">
        <f>AVERAGEIF(Activity_merged!A:A,A11,Activity_merged!E:E)</f>
        <v>4.469166726</v>
      </c>
      <c r="E11" s="9">
        <f>COUNTIF(Activity_merged!A:A,A11)</f>
        <v>12</v>
      </c>
      <c r="F11" s="9" t="str">
        <f t="shared" si="1"/>
        <v>OK</v>
      </c>
    </row>
    <row r="12">
      <c r="A12" s="9">
        <v>2.891001357E9</v>
      </c>
      <c r="B12" s="9">
        <f>AVERAGEIF(Activity_merged!A:A,A12,Activity_merged!D:D)</f>
        <v>773.625</v>
      </c>
      <c r="C12" s="9">
        <f>AVERAGEIF(Activity_merged!A:A,A12,Activity_merged!P:P)</f>
        <v>2273.375</v>
      </c>
      <c r="D12" s="9">
        <f>AVERAGEIF(Activity_merged!A:A,A12,Activity_merged!E:E)</f>
        <v>0.6037500054</v>
      </c>
      <c r="E12" s="9">
        <f>COUNTIF(Activity_merged!A:A,A12)</f>
        <v>8</v>
      </c>
      <c r="F12" s="9" t="str">
        <f t="shared" si="1"/>
        <v>OK</v>
      </c>
    </row>
    <row r="13">
      <c r="A13" s="9">
        <v>3.372868164E9</v>
      </c>
      <c r="B13" s="9">
        <f>AVERAGEIF(Activity_merged!A:A,A13,Activity_merged!D:D)</f>
        <v>6127.5</v>
      </c>
      <c r="C13" s="9">
        <f>AVERAGEIF(Activity_merged!A:A,A13,Activity_merged!P:P)</f>
        <v>1860.3</v>
      </c>
      <c r="D13" s="9">
        <f>AVERAGEIF(Activity_merged!A:A,A13,Activity_merged!E:E)</f>
        <v>4.215999985</v>
      </c>
      <c r="E13" s="9">
        <f>COUNTIF(Activity_merged!A:A,A13)</f>
        <v>10</v>
      </c>
      <c r="F13" s="9" t="str">
        <f t="shared" si="1"/>
        <v>OK</v>
      </c>
    </row>
    <row r="14">
      <c r="A14" s="9">
        <v>3.977333714E9</v>
      </c>
      <c r="B14" s="9">
        <f>AVERAGEIF(Activity_merged!A:A,A14,Activity_merged!D:D)</f>
        <v>8663.916667</v>
      </c>
      <c r="C14" s="9">
        <f>AVERAGEIF(Activity_merged!A:A,A14,Activity_merged!P:P)</f>
        <v>1398.083333</v>
      </c>
      <c r="D14" s="9">
        <f>AVERAGEIF(Activity_merged!A:A,A14,Activity_merged!E:E)</f>
        <v>5.806666618</v>
      </c>
      <c r="E14" s="9">
        <f>COUNTIF(Activity_merged!A:A,A14)</f>
        <v>12</v>
      </c>
      <c r="F14" s="9" t="str">
        <f t="shared" si="1"/>
        <v>OK</v>
      </c>
    </row>
    <row r="15">
      <c r="A15" s="9">
        <v>4.02033265E9</v>
      </c>
      <c r="B15" s="9">
        <f>AVERAGEIF(Activity_merged!A:A,A15,Activity_merged!D:D)</f>
        <v>5776.59375</v>
      </c>
      <c r="C15" s="9">
        <f>AVERAGEIF(Activity_merged!A:A,A15,Activity_merged!P:P)</f>
        <v>3075.375</v>
      </c>
      <c r="D15" s="9">
        <f>AVERAGEIF(Activity_merged!A:A,A15,Activity_merged!E:E)</f>
        <v>4.143749994</v>
      </c>
      <c r="E15" s="9">
        <f>COUNTIF(Activity_merged!A:A,A15)</f>
        <v>32</v>
      </c>
      <c r="F15" s="9" t="str">
        <f t="shared" si="1"/>
        <v>OK</v>
      </c>
    </row>
    <row r="16">
      <c r="A16" s="9">
        <v>4.057192912E9</v>
      </c>
      <c r="B16" s="9">
        <f>AVERAGEIF(Activity_merged!A:A,A16,Activity_merged!D:D)</f>
        <v>1887.21875</v>
      </c>
      <c r="C16" s="9">
        <f>AVERAGEIF(Activity_merged!A:A,A16,Activity_merged!P:P)</f>
        <v>1903.53125</v>
      </c>
      <c r="D16" s="9">
        <f>AVERAGEIF(Activity_merged!A:A,A16,Activity_merged!E:E)</f>
        <v>1.389062502</v>
      </c>
      <c r="E16" s="9">
        <f>COUNTIF(Activity_merged!A:A,A16)</f>
        <v>32</v>
      </c>
      <c r="F16" s="9" t="str">
        <f t="shared" si="1"/>
        <v>OK</v>
      </c>
    </row>
    <row r="17">
      <c r="A17" s="9">
        <v>4.319703577E9</v>
      </c>
      <c r="B17" s="9">
        <f>AVERAGEIF(Activity_merged!A:A,A17,Activity_merged!D:D)</f>
        <v>7820.583333</v>
      </c>
      <c r="C17" s="9">
        <f>AVERAGEIF(Activity_merged!A:A,A17,Activity_merged!P:P)</f>
        <v>1994.25</v>
      </c>
      <c r="D17" s="9">
        <f>AVERAGEIF(Activity_merged!A:A,A17,Activity_merged!E:E)</f>
        <v>5.255833348</v>
      </c>
      <c r="E17" s="9">
        <f>COUNTIF(Activity_merged!A:A,A17)</f>
        <v>12</v>
      </c>
      <c r="F17" s="9" t="str">
        <f t="shared" si="1"/>
        <v>OK</v>
      </c>
    </row>
    <row r="18">
      <c r="A18" s="9">
        <v>4.388161847E9</v>
      </c>
      <c r="B18" s="9">
        <f>AVERAGEIF(Activity_merged!A:A,A18,Activity_merged!D:D)</f>
        <v>0</v>
      </c>
      <c r="C18" s="9">
        <f>AVERAGEIF(Activity_merged!A:A,A18,Activity_merged!P:P)</f>
        <v>1805.25</v>
      </c>
      <c r="D18" s="9">
        <f>AVERAGEIF(Activity_merged!A:A,A18,Activity_merged!E:E)</f>
        <v>0</v>
      </c>
      <c r="E18" s="9">
        <f>COUNTIF(Activity_merged!A:A,A18)</f>
        <v>8</v>
      </c>
      <c r="F18" s="9" t="str">
        <f t="shared" si="1"/>
        <v>Missing Data</v>
      </c>
    </row>
    <row r="19">
      <c r="A19" s="9">
        <v>4.445114986E9</v>
      </c>
      <c r="B19" s="9">
        <f>AVERAGEIF(Activity_merged!A:A,A19,Activity_merged!D:D)</f>
        <v>4293.066667</v>
      </c>
      <c r="C19" s="9">
        <f>AVERAGEIF(Activity_merged!A:A,A19,Activity_merged!P:P)</f>
        <v>2107.8</v>
      </c>
      <c r="D19" s="9">
        <f>AVERAGEIF(Activity_merged!A:A,A19,Activity_merged!E:E)</f>
        <v>2.90666668</v>
      </c>
      <c r="E19" s="9">
        <f>COUNTIF(Activity_merged!A:A,A19)</f>
        <v>15</v>
      </c>
      <c r="F19" s="9" t="str">
        <f t="shared" si="1"/>
        <v>OK</v>
      </c>
    </row>
    <row r="20">
      <c r="A20" s="9">
        <v>4.558609924E9</v>
      </c>
      <c r="B20" s="9">
        <f>AVERAGEIF(Activity_merged!A:A,A20,Activity_merged!D:D)</f>
        <v>5785.25</v>
      </c>
      <c r="C20" s="9">
        <f>AVERAGEIF(Activity_merged!A:A,A20,Activity_merged!P:P)</f>
        <v>1830.166667</v>
      </c>
      <c r="D20" s="9">
        <f>AVERAGEIF(Activity_merged!A:A,A20,Activity_merged!E:E)</f>
        <v>3.823333308</v>
      </c>
      <c r="E20" s="9">
        <f>COUNTIF(Activity_merged!A:A,A20)</f>
        <v>12</v>
      </c>
      <c r="F20" s="9" t="str">
        <f t="shared" si="1"/>
        <v>OK</v>
      </c>
    </row>
    <row r="21">
      <c r="A21" s="9">
        <v>4.702921684E9</v>
      </c>
      <c r="B21" s="9">
        <f>AVERAGEIF(Activity_merged!A:A,A21,Activity_merged!D:D)</f>
        <v>7943.4</v>
      </c>
      <c r="C21" s="9">
        <f>AVERAGEIF(Activity_merged!A:A,A21,Activity_merged!P:P)</f>
        <v>2821.466667</v>
      </c>
      <c r="D21" s="9">
        <f>AVERAGEIF(Activity_merged!A:A,A21,Activity_merged!E:E)</f>
        <v>6.445999972</v>
      </c>
      <c r="E21" s="9">
        <f>COUNTIF(Activity_merged!A:A,A21)</f>
        <v>15</v>
      </c>
      <c r="F21" s="9" t="str">
        <f t="shared" si="1"/>
        <v>OK</v>
      </c>
    </row>
    <row r="22">
      <c r="A22" s="9">
        <v>5.553957443E9</v>
      </c>
      <c r="B22" s="9">
        <f>AVERAGEIF(Activity_merged!A:A,A22,Activity_merged!D:D)</f>
        <v>8354.75</v>
      </c>
      <c r="C22" s="9">
        <f>AVERAGEIF(Activity_merged!A:A,A22,Activity_merged!P:P)</f>
        <v>1802.5</v>
      </c>
      <c r="D22" s="9">
        <f>AVERAGEIF(Activity_merged!A:A,A22,Activity_merged!E:E)</f>
        <v>5.458333363</v>
      </c>
      <c r="E22" s="9">
        <f>COUNTIF(Activity_merged!A:A,A22)</f>
        <v>12</v>
      </c>
      <c r="F22" s="9" t="str">
        <f t="shared" si="1"/>
        <v>OK</v>
      </c>
    </row>
    <row r="23">
      <c r="A23" s="9">
        <v>5.577150313E9</v>
      </c>
      <c r="B23" s="9">
        <f>AVERAGEIF(Activity_merged!A:A,A23,Activity_merged!D:D)</f>
        <v>8608.181818</v>
      </c>
      <c r="C23" s="9">
        <f>AVERAGEIF(Activity_merged!A:A,A23,Activity_merged!P:P)</f>
        <v>3300.272727</v>
      </c>
      <c r="D23" s="9">
        <f>AVERAGEIF(Activity_merged!A:A,A23,Activity_merged!E:E)</f>
        <v>6.448181781</v>
      </c>
      <c r="E23" s="9">
        <f>COUNTIF(Activity_merged!A:A,A23)</f>
        <v>11</v>
      </c>
      <c r="F23" s="9" t="str">
        <f t="shared" si="1"/>
        <v>OK</v>
      </c>
    </row>
    <row r="24">
      <c r="A24" s="9">
        <v>6.11766616E9</v>
      </c>
      <c r="B24" s="9">
        <f>AVERAGEIF(Activity_merged!A:A,A24,Activity_merged!D:D)</f>
        <v>8248.6</v>
      </c>
      <c r="C24" s="9">
        <f>AVERAGEIF(Activity_merged!A:A,A24,Activity_merged!P:P)</f>
        <v>2099.3</v>
      </c>
      <c r="D24" s="9">
        <f>AVERAGEIF(Activity_merged!A:A,A24,Activity_merged!E:E)</f>
        <v>6.226999974</v>
      </c>
      <c r="E24" s="9">
        <f>COUNTIF(Activity_merged!A:A,A24)</f>
        <v>10</v>
      </c>
      <c r="F24" s="9" t="str">
        <f t="shared" si="1"/>
        <v>OK</v>
      </c>
    </row>
    <row r="25">
      <c r="A25" s="9">
        <v>6.290855005E9</v>
      </c>
      <c r="B25" s="9">
        <f>AVERAGEIF(Activity_merged!A:A,A25,Activity_merged!D:D)</f>
        <v>1618.1</v>
      </c>
      <c r="C25" s="9">
        <f>AVERAGEIF(Activity_merged!A:A,A25,Activity_merged!P:P)</f>
        <v>2165.6</v>
      </c>
      <c r="D25" s="9">
        <f>AVERAGEIF(Activity_merged!A:A,A25,Activity_merged!E:E)</f>
        <v>1.223000002</v>
      </c>
      <c r="E25" s="9">
        <f>COUNTIF(Activity_merged!A:A,A25)</f>
        <v>10</v>
      </c>
      <c r="F25" s="9" t="str">
        <f t="shared" si="1"/>
        <v>OK</v>
      </c>
    </row>
    <row r="26">
      <c r="A26" s="9">
        <v>6.391747486E9</v>
      </c>
      <c r="B26" s="9">
        <f>AVERAGEIF(Activity_merged!A:A,A26,Activity_merged!D:D)</f>
        <v>1336.888889</v>
      </c>
      <c r="C26" s="9">
        <f>AVERAGEIF(Activity_merged!A:A,A26,Activity_merged!P:P)</f>
        <v>1763.111111</v>
      </c>
      <c r="D26" s="9">
        <f>AVERAGEIF(Activity_merged!A:A,A26,Activity_merged!E:E)</f>
        <v>1.074444466</v>
      </c>
      <c r="E26" s="9">
        <f>COUNTIF(Activity_merged!A:A,A26)</f>
        <v>9</v>
      </c>
      <c r="F26" s="9" t="str">
        <f t="shared" si="1"/>
        <v>OK</v>
      </c>
    </row>
    <row r="27">
      <c r="A27" s="9">
        <v>6.775888955E9</v>
      </c>
      <c r="B27" s="9">
        <f>AVERAGEIF(Activity_merged!A:A,A27,Activity_merged!D:D)</f>
        <v>5559</v>
      </c>
      <c r="C27" s="9">
        <f>AVERAGEIF(Activity_merged!A:A,A27,Activity_merged!P:P)</f>
        <v>2724.777778</v>
      </c>
      <c r="D27" s="9">
        <f>AVERAGEIF(Activity_merged!A:A,A27,Activity_merged!E:E)</f>
        <v>3.985555517</v>
      </c>
      <c r="E27" s="9">
        <f>COUNTIF(Activity_merged!A:A,A27)</f>
        <v>9</v>
      </c>
      <c r="F27" s="9" t="str">
        <f t="shared" si="1"/>
        <v>OK</v>
      </c>
    </row>
    <row r="28">
      <c r="A28" s="9">
        <v>6.962181067E9</v>
      </c>
      <c r="B28" s="9">
        <f>AVERAGEIF(Activity_merged!A:A,A28,Activity_merged!D:D)</f>
        <v>12639.71429</v>
      </c>
      <c r="C28" s="9">
        <f>AVERAGEIF(Activity_merged!A:A,A28,Activity_merged!P:P)</f>
        <v>2089.214286</v>
      </c>
      <c r="D28" s="9">
        <f>AVERAGEIF(Activity_merged!A:A,A28,Activity_merged!E:E)</f>
        <v>8.647857155</v>
      </c>
      <c r="E28" s="9">
        <f>COUNTIF(Activity_merged!A:A,A28)</f>
        <v>14</v>
      </c>
      <c r="F28" s="9" t="str">
        <f t="shared" si="1"/>
        <v>OK</v>
      </c>
    </row>
    <row r="29">
      <c r="A29" s="9">
        <v>7.007744171E9</v>
      </c>
      <c r="B29" s="9">
        <f>AVERAGEIF(Activity_merged!A:A,A29,Activity_merged!D:D)</f>
        <v>12260.33333</v>
      </c>
      <c r="C29" s="9">
        <f>AVERAGEIF(Activity_merged!A:A,A29,Activity_merged!P:P)</f>
        <v>2627.083333</v>
      </c>
      <c r="D29" s="9">
        <f>AVERAGEIF(Activity_merged!A:A,A29,Activity_merged!E:E)</f>
        <v>8.856666684</v>
      </c>
      <c r="E29" s="9">
        <f>COUNTIF(Activity_merged!A:A,A29)</f>
        <v>12</v>
      </c>
      <c r="F29" s="9" t="str">
        <f t="shared" si="1"/>
        <v>OK</v>
      </c>
    </row>
    <row r="30">
      <c r="A30" s="9">
        <v>7.086361926E9</v>
      </c>
      <c r="B30" s="9">
        <f>AVERAGEIF(Activity_merged!A:A,A30,Activity_merged!D:D)</f>
        <v>6103.916667</v>
      </c>
      <c r="C30" s="9">
        <f>AVERAGEIF(Activity_merged!A:A,A30,Activity_merged!P:P)</f>
        <v>2177</v>
      </c>
      <c r="D30" s="9">
        <f>AVERAGEIF(Activity_merged!A:A,A30,Activity_merged!E:E)</f>
        <v>4.094166626</v>
      </c>
      <c r="E30" s="9">
        <f>COUNTIF(Activity_merged!A:A,A30)</f>
        <v>12</v>
      </c>
      <c r="F30" s="9" t="str">
        <f t="shared" si="1"/>
        <v>OK</v>
      </c>
    </row>
    <row r="31">
      <c r="A31" s="9">
        <v>8.053475328E9</v>
      </c>
      <c r="B31" s="9">
        <f>AVERAGEIF(Activity_merged!A:A,A31,Activity_merged!D:D)</f>
        <v>14844.36364</v>
      </c>
      <c r="C31" s="9">
        <f>AVERAGEIF(Activity_merged!A:A,A31,Activity_merged!P:P)</f>
        <v>2893.181818</v>
      </c>
      <c r="D31" s="9">
        <f>AVERAGEIF(Activity_merged!A:A,A31,Activity_merged!E:E)</f>
        <v>11.5763636</v>
      </c>
      <c r="E31" s="9">
        <f>COUNTIF(Activity_merged!A:A,A31)</f>
        <v>11</v>
      </c>
      <c r="F31" s="9" t="str">
        <f t="shared" si="1"/>
        <v>OK</v>
      </c>
    </row>
    <row r="32">
      <c r="A32" s="9">
        <v>8.253242879E9</v>
      </c>
      <c r="B32" s="9">
        <f>AVERAGEIF(Activity_merged!A:A,A32,Activity_merged!D:D)</f>
        <v>2389.916667</v>
      </c>
      <c r="C32" s="9">
        <f>AVERAGEIF(Activity_merged!A:A,A32,Activity_merged!P:P)</f>
        <v>1463</v>
      </c>
      <c r="D32" s="9">
        <f>AVERAGEIF(Activity_merged!A:A,A32,Activity_merged!E:E)</f>
        <v>1.679166635</v>
      </c>
      <c r="E32" s="9">
        <f>COUNTIF(Activity_merged!A:A,A32)</f>
        <v>12</v>
      </c>
      <c r="F32" s="9" t="str">
        <f t="shared" si="1"/>
        <v>OK</v>
      </c>
    </row>
    <row r="33">
      <c r="A33" s="9">
        <v>8.3785632E9</v>
      </c>
      <c r="B33" s="9">
        <f>AVERAGEIF(Activity_merged!A:A,A33,Activity_merged!D:D)</f>
        <v>8135.25</v>
      </c>
      <c r="C33" s="9">
        <f>AVERAGEIF(Activity_merged!A:A,A33,Activity_merged!P:P)</f>
        <v>3356.166667</v>
      </c>
      <c r="D33" s="9">
        <f>AVERAGEIF(Activity_merged!A:A,A33,Activity_merged!E:E)</f>
        <v>6.451666633</v>
      </c>
      <c r="E33" s="9">
        <f>COUNTIF(Activity_merged!A:A,A33)</f>
        <v>12</v>
      </c>
      <c r="F33" s="9" t="str">
        <f t="shared" si="1"/>
        <v>OK</v>
      </c>
    </row>
    <row r="34">
      <c r="A34" s="9">
        <v>8.583815059E9</v>
      </c>
      <c r="B34" s="9">
        <f>AVERAGEIF(Activity_merged!A:A,A34,Activity_merged!D:D)</f>
        <v>3045.5</v>
      </c>
      <c r="C34" s="9">
        <f>AVERAGEIF(Activity_merged!A:A,A34,Activity_merged!P:P)</f>
        <v>2391.25</v>
      </c>
      <c r="D34" s="9">
        <f>AVERAGEIF(Activity_merged!A:A,A34,Activity_merged!E:E)</f>
        <v>2.377500013</v>
      </c>
      <c r="E34" s="9">
        <f>COUNTIF(Activity_merged!A:A,A34)</f>
        <v>8</v>
      </c>
      <c r="F34" s="9" t="str">
        <f t="shared" si="1"/>
        <v>OK</v>
      </c>
    </row>
    <row r="35">
      <c r="A35" s="9">
        <v>8.792009665E9</v>
      </c>
      <c r="B35" s="9">
        <f>AVERAGEIF(Activity_merged!A:A,A35,Activity_merged!D:D)</f>
        <v>3094.916667</v>
      </c>
      <c r="C35" s="9">
        <f>AVERAGEIF(Activity_merged!A:A,A35,Activity_merged!P:P)</f>
        <v>2073.666667</v>
      </c>
      <c r="D35" s="9">
        <f>AVERAGEIF(Activity_merged!A:A,A35,Activity_merged!E:E)</f>
        <v>1.980833341</v>
      </c>
      <c r="E35" s="9">
        <f>COUNTIF(Activity_merged!A:A,A35)</f>
        <v>12</v>
      </c>
      <c r="F35" s="9" t="str">
        <f t="shared" si="1"/>
        <v>OK</v>
      </c>
    </row>
    <row r="36">
      <c r="A36" s="9">
        <v>8.877689391E9</v>
      </c>
      <c r="B36" s="9">
        <f>AVERAGEIF(Activity_merged!A:A,A36,Activity_merged!D:D)</f>
        <v>17417.08333</v>
      </c>
      <c r="C36" s="9">
        <f>AVERAGEIF(Activity_merged!A:A,A36,Activity_merged!P:P)</f>
        <v>3451.166667</v>
      </c>
      <c r="D36" s="9">
        <f>AVERAGEIF(Activity_merged!A:A,A36,Activity_merged!E:E)</f>
        <v>14.09083321</v>
      </c>
      <c r="E36" s="9">
        <f>COUNTIF(Activity_merged!A:A,A36)</f>
        <v>12</v>
      </c>
      <c r="F36" s="9" t="str">
        <f t="shared" si="1"/>
        <v>OK</v>
      </c>
    </row>
    <row r="37">
      <c r="A3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3.38"/>
    <col customWidth="1" min="4" max="4" width="11.88"/>
    <col customWidth="1" min="5" max="5" width="19.0"/>
    <col customWidth="1" min="6" max="6" width="15.0"/>
    <col customWidth="1" min="7" max="7" width="14.5"/>
  </cols>
  <sheetData>
    <row r="1">
      <c r="A1" s="6" t="s">
        <v>0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</row>
    <row r="2">
      <c r="A2" s="9">
        <f t="array" ref="A2:A26">UNIQUE(sleepDay_merged!A2:A1000)</f>
        <v>1503960366</v>
      </c>
      <c r="B2" s="10">
        <f>AVERAGEIF(sleepDay_merged!A:A,A2,sleepDay_merged!E:E)</f>
        <v>360.28</v>
      </c>
      <c r="C2" s="10">
        <f t="shared" ref="C2:C25" si="1">B2/60</f>
        <v>6.004666667</v>
      </c>
      <c r="D2" s="10">
        <f>AVERAGEIF(sleepDay_merged!A:A,A2,sleepDay_merged!F:F)</f>
        <v>383.2</v>
      </c>
      <c r="E2" s="10">
        <f>AVERAGEIF(sleepDay_merged!A:A, A2, sleepDay_merged!G:G)</f>
        <v>22.92</v>
      </c>
      <c r="F2" s="9">
        <f>COUNTIF(sleepDay_merged!A:A,A2)</f>
        <v>25</v>
      </c>
      <c r="G2" s="9" t="str">
        <f t="shared" ref="G2:G25" si="2">IF(F2&lt;7,"Low sleep records",IF(OR(C2&lt;3,C2&gt;10,E2&gt;120),"Possible outlier","OK"))</f>
        <v>OK</v>
      </c>
    </row>
    <row r="3">
      <c r="A3" s="9">
        <v>1.644430081E9</v>
      </c>
      <c r="B3" s="10">
        <f>AVERAGEIF(sleepDay_merged!A:A,A3,sleepDay_merged!E:E)</f>
        <v>294</v>
      </c>
      <c r="C3" s="10">
        <f t="shared" si="1"/>
        <v>4.9</v>
      </c>
      <c r="D3" s="10">
        <f>AVERAGEIF(sleepDay_merged!A:A,A3,sleepDay_merged!F:F)</f>
        <v>346</v>
      </c>
      <c r="E3" s="10">
        <f>AVERAGEIF(sleepDay_merged!A:A, A3, sleepDay_merged!G:G)</f>
        <v>52</v>
      </c>
      <c r="F3" s="9">
        <f>COUNTIF(sleepDay_merged!A:A,A3)</f>
        <v>4</v>
      </c>
      <c r="G3" s="9" t="str">
        <f t="shared" si="2"/>
        <v>Low sleep records</v>
      </c>
    </row>
    <row r="4">
      <c r="A4" s="9">
        <v>1.844505072E9</v>
      </c>
      <c r="B4" s="10">
        <f>AVERAGEIF(sleepDay_merged!A:A,A4,sleepDay_merged!E:E)</f>
        <v>652</v>
      </c>
      <c r="C4" s="10">
        <f t="shared" si="1"/>
        <v>10.86666667</v>
      </c>
      <c r="D4" s="10">
        <f>AVERAGEIF(sleepDay_merged!A:A,A4,sleepDay_merged!F:F)</f>
        <v>961</v>
      </c>
      <c r="E4" s="10">
        <f>AVERAGEIF(sleepDay_merged!A:A, A4, sleepDay_merged!G:G)</f>
        <v>309</v>
      </c>
      <c r="F4" s="9">
        <f>COUNTIF(sleepDay_merged!A:A,A4)</f>
        <v>3</v>
      </c>
      <c r="G4" s="9" t="str">
        <f t="shared" si="2"/>
        <v>Low sleep records</v>
      </c>
    </row>
    <row r="5">
      <c r="A5" s="9">
        <v>1.927972279E9</v>
      </c>
      <c r="B5" s="10">
        <f>AVERAGEIF(sleepDay_merged!A:A,A5,sleepDay_merged!E:E)</f>
        <v>417</v>
      </c>
      <c r="C5" s="10">
        <f t="shared" si="1"/>
        <v>6.95</v>
      </c>
      <c r="D5" s="10">
        <f>AVERAGEIF(sleepDay_merged!A:A,A5,sleepDay_merged!F:F)</f>
        <v>437.8</v>
      </c>
      <c r="E5" s="10">
        <f>AVERAGEIF(sleepDay_merged!A:A, A5, sleepDay_merged!G:G)</f>
        <v>20.8</v>
      </c>
      <c r="F5" s="9">
        <f>COUNTIF(sleepDay_merged!A:A,A5)</f>
        <v>5</v>
      </c>
      <c r="G5" s="9" t="str">
        <f t="shared" si="2"/>
        <v>Low sleep records</v>
      </c>
    </row>
    <row r="6">
      <c r="A6" s="9">
        <v>2.026352035E9</v>
      </c>
      <c r="B6" s="10">
        <f>AVERAGEIF(sleepDay_merged!A:A,A6,sleepDay_merged!E:E)</f>
        <v>506.1785714</v>
      </c>
      <c r="C6" s="10">
        <f t="shared" si="1"/>
        <v>8.436309524</v>
      </c>
      <c r="D6" s="10">
        <f>AVERAGEIF(sleepDay_merged!A:A,A6,sleepDay_merged!F:F)</f>
        <v>537.6428571</v>
      </c>
      <c r="E6" s="10">
        <f>AVERAGEIF(sleepDay_merged!A:A, A6, sleepDay_merged!G:G)</f>
        <v>31.46428571</v>
      </c>
      <c r="F6" s="9">
        <f>COUNTIF(sleepDay_merged!A:A,A6)</f>
        <v>28</v>
      </c>
      <c r="G6" s="9" t="str">
        <f t="shared" si="2"/>
        <v>OK</v>
      </c>
    </row>
    <row r="7">
      <c r="A7" s="9">
        <v>2.320127002E9</v>
      </c>
      <c r="B7" s="10">
        <f>AVERAGEIF(sleepDay_merged!A:A,A7,sleepDay_merged!E:E)</f>
        <v>61</v>
      </c>
      <c r="C7" s="10">
        <f t="shared" si="1"/>
        <v>1.016666667</v>
      </c>
      <c r="D7" s="10">
        <f>AVERAGEIF(sleepDay_merged!A:A,A7,sleepDay_merged!F:F)</f>
        <v>69</v>
      </c>
      <c r="E7" s="10">
        <f>AVERAGEIF(sleepDay_merged!A:A, A7, sleepDay_merged!G:G)</f>
        <v>8</v>
      </c>
      <c r="F7" s="9">
        <f>COUNTIF(sleepDay_merged!A:A,A7)</f>
        <v>1</v>
      </c>
      <c r="G7" s="9" t="str">
        <f t="shared" si="2"/>
        <v>Low sleep records</v>
      </c>
    </row>
    <row r="8">
      <c r="A8" s="9">
        <v>2.347167796E9</v>
      </c>
      <c r="B8" s="10">
        <f>AVERAGEIF(sleepDay_merged!A:A,A8,sleepDay_merged!E:E)</f>
        <v>446.8</v>
      </c>
      <c r="C8" s="10">
        <f t="shared" si="1"/>
        <v>7.446666667</v>
      </c>
      <c r="D8" s="10">
        <f>AVERAGEIF(sleepDay_merged!A:A,A8,sleepDay_merged!F:F)</f>
        <v>491.3333333</v>
      </c>
      <c r="E8" s="10">
        <f>AVERAGEIF(sleepDay_merged!A:A, A8, sleepDay_merged!G:G)</f>
        <v>44.53333333</v>
      </c>
      <c r="F8" s="9">
        <f>COUNTIF(sleepDay_merged!A:A,A8)</f>
        <v>15</v>
      </c>
      <c r="G8" s="9" t="str">
        <f t="shared" si="2"/>
        <v>OK</v>
      </c>
    </row>
    <row r="9">
      <c r="A9" s="9">
        <v>3.977333714E9</v>
      </c>
      <c r="B9" s="10">
        <f>AVERAGEIF(sleepDay_merged!A:A,A9,sleepDay_merged!E:E)</f>
        <v>293.6428571</v>
      </c>
      <c r="C9" s="10">
        <f t="shared" si="1"/>
        <v>4.894047619</v>
      </c>
      <c r="D9" s="10">
        <f>AVERAGEIF(sleepDay_merged!A:A,A9,sleepDay_merged!F:F)</f>
        <v>461.1428571</v>
      </c>
      <c r="E9" s="10">
        <f>AVERAGEIF(sleepDay_merged!A:A, A9, sleepDay_merged!G:G)</f>
        <v>167.5</v>
      </c>
      <c r="F9" s="9">
        <f>COUNTIF(sleepDay_merged!A:A,A9)</f>
        <v>28</v>
      </c>
      <c r="G9" s="9" t="str">
        <f t="shared" si="2"/>
        <v>Possible outlier</v>
      </c>
    </row>
    <row r="10">
      <c r="A10" s="9">
        <v>4.02033265E9</v>
      </c>
      <c r="B10" s="10">
        <f>AVERAGEIF(sleepDay_merged!A:A,A10,sleepDay_merged!E:E)</f>
        <v>349.375</v>
      </c>
      <c r="C10" s="10">
        <f t="shared" si="1"/>
        <v>5.822916667</v>
      </c>
      <c r="D10" s="10">
        <f>AVERAGEIF(sleepDay_merged!A:A,A10,sleepDay_merged!F:F)</f>
        <v>379.75</v>
      </c>
      <c r="E10" s="10">
        <f>AVERAGEIF(sleepDay_merged!A:A, A10, sleepDay_merged!G:G)</f>
        <v>30.375</v>
      </c>
      <c r="F10" s="9">
        <f>COUNTIF(sleepDay_merged!A:A,A10)</f>
        <v>8</v>
      </c>
      <c r="G10" s="9" t="str">
        <f t="shared" si="2"/>
        <v>OK</v>
      </c>
    </row>
    <row r="11">
      <c r="A11" s="9">
        <v>4.319703577E9</v>
      </c>
      <c r="B11" s="10">
        <f>AVERAGEIF(sleepDay_merged!A:A,A11,sleepDay_merged!E:E)</f>
        <v>476.6538462</v>
      </c>
      <c r="C11" s="10">
        <f t="shared" si="1"/>
        <v>7.944230769</v>
      </c>
      <c r="D11" s="10">
        <f>AVERAGEIF(sleepDay_merged!A:A,A11,sleepDay_merged!F:F)</f>
        <v>501.9615385</v>
      </c>
      <c r="E11" s="10">
        <f>AVERAGEIF(sleepDay_merged!A:A, A11, sleepDay_merged!G:G)</f>
        <v>25.30769231</v>
      </c>
      <c r="F11" s="9">
        <f>COUNTIF(sleepDay_merged!A:A,A11)</f>
        <v>26</v>
      </c>
      <c r="G11" s="9" t="str">
        <f t="shared" si="2"/>
        <v>OK</v>
      </c>
    </row>
    <row r="12">
      <c r="A12" s="9">
        <v>4.388161847E9</v>
      </c>
      <c r="B12" s="10">
        <f>AVERAGEIF(sleepDay_merged!A:A,A12,sleepDay_merged!E:E)</f>
        <v>403.125</v>
      </c>
      <c r="C12" s="10">
        <f t="shared" si="1"/>
        <v>6.71875</v>
      </c>
      <c r="D12" s="10">
        <f>AVERAGEIF(sleepDay_merged!A:A,A12,sleepDay_merged!F:F)</f>
        <v>426.2083333</v>
      </c>
      <c r="E12" s="10">
        <f>AVERAGEIF(sleepDay_merged!A:A, A12, sleepDay_merged!G:G)</f>
        <v>23.08333333</v>
      </c>
      <c r="F12" s="9">
        <f>COUNTIF(sleepDay_merged!A:A,A12)</f>
        <v>24</v>
      </c>
      <c r="G12" s="9" t="str">
        <f t="shared" si="2"/>
        <v>OK</v>
      </c>
    </row>
    <row r="13">
      <c r="A13" s="9">
        <v>4.445114986E9</v>
      </c>
      <c r="B13" s="10">
        <f>AVERAGEIF(sleepDay_merged!A:A,A13,sleepDay_merged!E:E)</f>
        <v>385.1785714</v>
      </c>
      <c r="C13" s="10">
        <f t="shared" si="1"/>
        <v>6.419642857</v>
      </c>
      <c r="D13" s="10">
        <f>AVERAGEIF(sleepDay_merged!A:A,A13,sleepDay_merged!F:F)</f>
        <v>416.8214286</v>
      </c>
      <c r="E13" s="10">
        <f>AVERAGEIF(sleepDay_merged!A:A, A13, sleepDay_merged!G:G)</f>
        <v>31.64285714</v>
      </c>
      <c r="F13" s="9">
        <f>COUNTIF(sleepDay_merged!A:A,A13)</f>
        <v>28</v>
      </c>
      <c r="G13" s="9" t="str">
        <f t="shared" si="2"/>
        <v>OK</v>
      </c>
    </row>
    <row r="14">
      <c r="A14" s="9">
        <v>4.558609924E9</v>
      </c>
      <c r="B14" s="10">
        <f>AVERAGEIF(sleepDay_merged!A:A,A14,sleepDay_merged!E:E)</f>
        <v>127.6</v>
      </c>
      <c r="C14" s="10">
        <f t="shared" si="1"/>
        <v>2.126666667</v>
      </c>
      <c r="D14" s="10">
        <f>AVERAGEIF(sleepDay_merged!A:A,A14,sleepDay_merged!F:F)</f>
        <v>140</v>
      </c>
      <c r="E14" s="10">
        <f>AVERAGEIF(sleepDay_merged!A:A, A14, sleepDay_merged!G:G)</f>
        <v>12.4</v>
      </c>
      <c r="F14" s="9">
        <f>COUNTIF(sleepDay_merged!A:A,A14)</f>
        <v>5</v>
      </c>
      <c r="G14" s="9" t="str">
        <f t="shared" si="2"/>
        <v>Low sleep records</v>
      </c>
    </row>
    <row r="15">
      <c r="A15" s="9">
        <v>4.702921684E9</v>
      </c>
      <c r="B15" s="10">
        <f>AVERAGEIF(sleepDay_merged!A:A,A15,sleepDay_merged!E:E)</f>
        <v>421.1428571</v>
      </c>
      <c r="C15" s="10">
        <f t="shared" si="1"/>
        <v>7.019047619</v>
      </c>
      <c r="D15" s="10">
        <f>AVERAGEIF(sleepDay_merged!A:A,A15,sleepDay_merged!F:F)</f>
        <v>441.9642857</v>
      </c>
      <c r="E15" s="10">
        <f>AVERAGEIF(sleepDay_merged!A:A, A15, sleepDay_merged!G:G)</f>
        <v>20.82142857</v>
      </c>
      <c r="F15" s="9">
        <f>COUNTIF(sleepDay_merged!A:A,A15)</f>
        <v>28</v>
      </c>
      <c r="G15" s="9" t="str">
        <f t="shared" si="2"/>
        <v>OK</v>
      </c>
    </row>
    <row r="16">
      <c r="A16" s="9">
        <v>5.553957443E9</v>
      </c>
      <c r="B16" s="10">
        <f>AVERAGEIF(sleepDay_merged!A:A,A16,sleepDay_merged!E:E)</f>
        <v>463.483871</v>
      </c>
      <c r="C16" s="10">
        <f t="shared" si="1"/>
        <v>7.724731183</v>
      </c>
      <c r="D16" s="10">
        <f>AVERAGEIF(sleepDay_merged!A:A,A16,sleepDay_merged!F:F)</f>
        <v>505.8709677</v>
      </c>
      <c r="E16" s="10">
        <f>AVERAGEIF(sleepDay_merged!A:A, A16, sleepDay_merged!G:G)</f>
        <v>42.38709677</v>
      </c>
      <c r="F16" s="9">
        <f>COUNTIF(sleepDay_merged!A:A,A16)</f>
        <v>31</v>
      </c>
      <c r="G16" s="9" t="str">
        <f t="shared" si="2"/>
        <v>OK</v>
      </c>
    </row>
    <row r="17">
      <c r="A17" s="9">
        <v>5.577150313E9</v>
      </c>
      <c r="B17" s="10">
        <f>AVERAGEIF(sleepDay_merged!A:A,A17,sleepDay_merged!E:E)</f>
        <v>432</v>
      </c>
      <c r="C17" s="10">
        <f t="shared" si="1"/>
        <v>7.2</v>
      </c>
      <c r="D17" s="10">
        <f>AVERAGEIF(sleepDay_merged!A:A,A17,sleepDay_merged!F:F)</f>
        <v>460.6153846</v>
      </c>
      <c r="E17" s="10">
        <f>AVERAGEIF(sleepDay_merged!A:A, A17, sleepDay_merged!G:G)</f>
        <v>28.61538462</v>
      </c>
      <c r="F17" s="9">
        <f>COUNTIF(sleepDay_merged!A:A,A17)</f>
        <v>26</v>
      </c>
      <c r="G17" s="9" t="str">
        <f t="shared" si="2"/>
        <v>OK</v>
      </c>
    </row>
    <row r="18">
      <c r="A18" s="9">
        <v>6.11766616E9</v>
      </c>
      <c r="B18" s="10">
        <f>AVERAGEIF(sleepDay_merged!A:A,A18,sleepDay_merged!E:E)</f>
        <v>478.7777778</v>
      </c>
      <c r="C18" s="10">
        <f t="shared" si="1"/>
        <v>7.97962963</v>
      </c>
      <c r="D18" s="10">
        <f>AVERAGEIF(sleepDay_merged!A:A,A18,sleepDay_merged!F:F)</f>
        <v>510.1666667</v>
      </c>
      <c r="E18" s="10">
        <f>AVERAGEIF(sleepDay_merged!A:A, A18, sleepDay_merged!G:G)</f>
        <v>31.38888889</v>
      </c>
      <c r="F18" s="9">
        <f>COUNTIF(sleepDay_merged!A:A,A18)</f>
        <v>18</v>
      </c>
      <c r="G18" s="9" t="str">
        <f t="shared" si="2"/>
        <v>OK</v>
      </c>
    </row>
    <row r="19">
      <c r="A19" s="9">
        <v>6.775888955E9</v>
      </c>
      <c r="B19" s="10">
        <f>AVERAGEIF(sleepDay_merged!A:A,A19,sleepDay_merged!E:E)</f>
        <v>349.6666667</v>
      </c>
      <c r="C19" s="10">
        <f t="shared" si="1"/>
        <v>5.827777778</v>
      </c>
      <c r="D19" s="10">
        <f>AVERAGEIF(sleepDay_merged!A:A,A19,sleepDay_merged!F:F)</f>
        <v>369</v>
      </c>
      <c r="E19" s="10">
        <f>AVERAGEIF(sleepDay_merged!A:A, A19, sleepDay_merged!G:G)</f>
        <v>19.33333333</v>
      </c>
      <c r="F19" s="9">
        <f>COUNTIF(sleepDay_merged!A:A,A19)</f>
        <v>3</v>
      </c>
      <c r="G19" s="9" t="str">
        <f t="shared" si="2"/>
        <v>Low sleep records</v>
      </c>
    </row>
    <row r="20">
      <c r="A20" s="9">
        <v>6.962181067E9</v>
      </c>
      <c r="B20" s="10">
        <f>AVERAGEIF(sleepDay_merged!A:A,A20,sleepDay_merged!E:E)</f>
        <v>448</v>
      </c>
      <c r="C20" s="10">
        <f t="shared" si="1"/>
        <v>7.466666667</v>
      </c>
      <c r="D20" s="10">
        <f>AVERAGEIF(sleepDay_merged!A:A,A20,sleepDay_merged!F:F)</f>
        <v>466.1290323</v>
      </c>
      <c r="E20" s="10">
        <f>AVERAGEIF(sleepDay_merged!A:A, A20, sleepDay_merged!G:G)</f>
        <v>18.12903226</v>
      </c>
      <c r="F20" s="9">
        <f>COUNTIF(sleepDay_merged!A:A,A20)</f>
        <v>31</v>
      </c>
      <c r="G20" s="9" t="str">
        <f t="shared" si="2"/>
        <v>OK</v>
      </c>
    </row>
    <row r="21">
      <c r="A21" s="9">
        <v>7.007744171E9</v>
      </c>
      <c r="B21" s="10">
        <f>AVERAGEIF(sleepDay_merged!A:A,A21,sleepDay_merged!E:E)</f>
        <v>68.5</v>
      </c>
      <c r="C21" s="10">
        <f t="shared" si="1"/>
        <v>1.141666667</v>
      </c>
      <c r="D21" s="10">
        <f>AVERAGEIF(sleepDay_merged!A:A,A21,sleepDay_merged!F:F)</f>
        <v>71.5</v>
      </c>
      <c r="E21" s="10">
        <f>AVERAGEIF(sleepDay_merged!A:A, A21, sleepDay_merged!G:G)</f>
        <v>3</v>
      </c>
      <c r="F21" s="9">
        <f>COUNTIF(sleepDay_merged!A:A,A21)</f>
        <v>2</v>
      </c>
      <c r="G21" s="9" t="str">
        <f t="shared" si="2"/>
        <v>Low sleep records</v>
      </c>
    </row>
    <row r="22">
      <c r="A22" s="9">
        <v>7.086361926E9</v>
      </c>
      <c r="B22" s="10">
        <f>AVERAGEIF(sleepDay_merged!A:A,A22,sleepDay_merged!E:E)</f>
        <v>453.125</v>
      </c>
      <c r="C22" s="10">
        <f t="shared" si="1"/>
        <v>7.552083333</v>
      </c>
      <c r="D22" s="10">
        <f>AVERAGEIF(sleepDay_merged!A:A,A22,sleepDay_merged!F:F)</f>
        <v>466.4166667</v>
      </c>
      <c r="E22" s="10">
        <f>AVERAGEIF(sleepDay_merged!A:A, A22, sleepDay_merged!G:G)</f>
        <v>13.29166667</v>
      </c>
      <c r="F22" s="9">
        <f>COUNTIF(sleepDay_merged!A:A,A22)</f>
        <v>24</v>
      </c>
      <c r="G22" s="9" t="str">
        <f t="shared" si="2"/>
        <v>OK</v>
      </c>
    </row>
    <row r="23">
      <c r="A23" s="9">
        <v>8.053475328E9</v>
      </c>
      <c r="B23" s="10">
        <f>AVERAGEIF(sleepDay_merged!A:A,A23,sleepDay_merged!E:E)</f>
        <v>297</v>
      </c>
      <c r="C23" s="10">
        <f t="shared" si="1"/>
        <v>4.95</v>
      </c>
      <c r="D23" s="10">
        <f>AVERAGEIF(sleepDay_merged!A:A,A23,sleepDay_merged!F:F)</f>
        <v>301.6666667</v>
      </c>
      <c r="E23" s="10">
        <f>AVERAGEIF(sleepDay_merged!A:A, A23, sleepDay_merged!G:G)</f>
        <v>4.666666667</v>
      </c>
      <c r="F23" s="9">
        <f>COUNTIF(sleepDay_merged!A:A,A23)</f>
        <v>3</v>
      </c>
      <c r="G23" s="9" t="str">
        <f t="shared" si="2"/>
        <v>Low sleep records</v>
      </c>
    </row>
    <row r="24">
      <c r="A24" s="9">
        <v>8.3785632E9</v>
      </c>
      <c r="B24" s="10">
        <f>AVERAGEIF(sleepDay_merged!A:A,A24,sleepDay_merged!E:E)</f>
        <v>443.34375</v>
      </c>
      <c r="C24" s="10">
        <f t="shared" si="1"/>
        <v>7.3890625</v>
      </c>
      <c r="D24" s="10">
        <f>AVERAGEIF(sleepDay_merged!A:A,A24,sleepDay_merged!F:F)</f>
        <v>483.3125</v>
      </c>
      <c r="E24" s="10">
        <f>AVERAGEIF(sleepDay_merged!A:A, A24, sleepDay_merged!G:G)</f>
        <v>39.96875</v>
      </c>
      <c r="F24" s="9">
        <f>COUNTIF(sleepDay_merged!A:A,A24)</f>
        <v>32</v>
      </c>
      <c r="G24" s="9" t="str">
        <f t="shared" si="2"/>
        <v>OK</v>
      </c>
    </row>
    <row r="25">
      <c r="A25" s="9">
        <v>8.792009665E9</v>
      </c>
      <c r="B25" s="10">
        <f>AVERAGEIF(sleepDay_merged!A:A,A25,sleepDay_merged!E:E)</f>
        <v>435.6666667</v>
      </c>
      <c r="C25" s="10">
        <f t="shared" si="1"/>
        <v>7.261111111</v>
      </c>
      <c r="D25" s="10">
        <f>AVERAGEIF(sleepDay_merged!A:A,A25,sleepDay_merged!F:F)</f>
        <v>453.8</v>
      </c>
      <c r="E25" s="10">
        <f>AVERAGEIF(sleepDay_merged!A:A, A25, sleepDay_merged!G:G)</f>
        <v>18.13333333</v>
      </c>
      <c r="F25" s="9">
        <f>COUNTIF(sleepDay_merged!A:A,A25)</f>
        <v>15</v>
      </c>
      <c r="G25" s="9" t="str">
        <f t="shared" si="2"/>
        <v>OK</v>
      </c>
    </row>
    <row r="26">
      <c r="A2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3" width="10.75"/>
    <col customWidth="1" min="4" max="4" width="11.63"/>
    <col customWidth="1" min="5" max="5" width="10.75"/>
    <col customWidth="1" min="6" max="6" width="13.0"/>
    <col customWidth="1" min="7" max="7" width="13.38"/>
    <col customWidth="1" min="8" max="8" width="19.0"/>
    <col customWidth="1" min="9" max="9" width="15.0"/>
    <col customWidth="1" min="10" max="10" width="14.5"/>
  </cols>
  <sheetData>
    <row r="1">
      <c r="A1" s="6" t="s">
        <v>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32</v>
      </c>
      <c r="G1" s="6" t="s">
        <v>27</v>
      </c>
      <c r="H1" s="6" t="s">
        <v>29</v>
      </c>
      <c r="I1" s="6" t="s">
        <v>30</v>
      </c>
      <c r="J1" s="6" t="s">
        <v>31</v>
      </c>
      <c r="K1" s="6" t="s">
        <v>33</v>
      </c>
    </row>
    <row r="2">
      <c r="A2" s="9">
        <f>daily_summary!A2</f>
        <v>1503960366</v>
      </c>
      <c r="B2" s="9">
        <f>daily_summary!B2</f>
        <v>11640.52632</v>
      </c>
      <c r="C2" s="9">
        <f>daily_summary!C2</f>
        <v>1796.210526</v>
      </c>
      <c r="D2" s="9">
        <f>daily_summary!D2</f>
        <v>7.607368451</v>
      </c>
      <c r="E2" s="9">
        <f>daily_summary!E2</f>
        <v>19</v>
      </c>
      <c r="F2" s="9" t="str">
        <f>daily_summary!F2</f>
        <v>OK</v>
      </c>
      <c r="G2" s="9">
        <f>IFERROR(VLOOKUP(A2,sleep_summary!A:G,3,FALSE),"No sleep data")</f>
        <v>6.004666667</v>
      </c>
      <c r="H2" s="9">
        <f>IFERROR(VLOOKUP(A2,sleep_summary!A:G,5,FALSE),"No sleep data")</f>
        <v>22.92</v>
      </c>
      <c r="I2" s="9">
        <f>IFERROR(VLOOKUP(A2,sleep_summary!A:G,6,FALSE),0)</f>
        <v>25</v>
      </c>
      <c r="J2" s="9" t="str">
        <f>IFERROR(VLOOKUP(A2,sleep_summary!A:G,7,FALSE),"No sleep data")</f>
        <v>OK</v>
      </c>
      <c r="K2" s="9" t="str">
        <f t="shared" ref="K2:K36" si="1">IF(B2&lt;5000,"Low",IF(B2&lt;10000,"Moderate","High"))</f>
        <v>High</v>
      </c>
    </row>
    <row r="3">
      <c r="A3" s="9">
        <f>daily_summary!A3</f>
        <v>1624580081</v>
      </c>
      <c r="B3" s="9">
        <f>daily_summary!B3</f>
        <v>4226.263158</v>
      </c>
      <c r="C3" s="9">
        <f>daily_summary!C3</f>
        <v>1352.894737</v>
      </c>
      <c r="D3" s="9">
        <f>daily_summary!D3</f>
        <v>2.746842077</v>
      </c>
      <c r="E3" s="9">
        <f>daily_summary!E3</f>
        <v>19</v>
      </c>
      <c r="F3" s="9" t="str">
        <f>daily_summary!F3</f>
        <v>OK</v>
      </c>
      <c r="G3" s="9" t="str">
        <f>IFERROR(VLOOKUP(A3,sleep_summary!A:G,3,FALSE),"No sleep data")</f>
        <v>No sleep data</v>
      </c>
      <c r="H3" s="9" t="str">
        <f>IFERROR(VLOOKUP(A3,sleep_summary!A:G,5,FALSE),"No sleep data")</f>
        <v>No sleep data</v>
      </c>
      <c r="I3" s="9">
        <f>IFERROR(VLOOKUP(A3,sleep_summary!A:G,6,FALSE),0)</f>
        <v>0</v>
      </c>
      <c r="J3" s="9" t="str">
        <f>IFERROR(VLOOKUP(A3,sleep_summary!A:G,7,FALSE),"No sleep data")</f>
        <v>No sleep data</v>
      </c>
      <c r="K3" s="9" t="str">
        <f t="shared" si="1"/>
        <v>Low</v>
      </c>
    </row>
    <row r="4">
      <c r="A4" s="9">
        <f>daily_summary!A4</f>
        <v>1644430081</v>
      </c>
      <c r="B4" s="9">
        <f>daily_summary!B4</f>
        <v>9274.8</v>
      </c>
      <c r="C4" s="9">
        <f>daily_summary!C4</f>
        <v>2916.4</v>
      </c>
      <c r="D4" s="9">
        <f>daily_summary!D4</f>
        <v>6.749000001</v>
      </c>
      <c r="E4" s="9">
        <f>daily_summary!E4</f>
        <v>10</v>
      </c>
      <c r="F4" s="9" t="str">
        <f>daily_summary!F4</f>
        <v>OK</v>
      </c>
      <c r="G4" s="9">
        <f>IFERROR(VLOOKUP(A4,sleep_summary!A:G,3,FALSE),"No sleep data")</f>
        <v>4.9</v>
      </c>
      <c r="H4" s="9">
        <f>IFERROR(VLOOKUP(A4,sleep_summary!A:G,5,FALSE),"No sleep data")</f>
        <v>52</v>
      </c>
      <c r="I4" s="9">
        <f>IFERROR(VLOOKUP(A4,sleep_summary!A:G,6,FALSE),0)</f>
        <v>4</v>
      </c>
      <c r="J4" s="9" t="str">
        <f>IFERROR(VLOOKUP(A4,sleep_summary!A:G,7,FALSE),"No sleep data")</f>
        <v>Low sleep records</v>
      </c>
      <c r="K4" s="9" t="str">
        <f t="shared" si="1"/>
        <v>Moderate</v>
      </c>
    </row>
    <row r="5">
      <c r="A5" s="9">
        <f>daily_summary!A5</f>
        <v>1844505072</v>
      </c>
      <c r="B5" s="9">
        <f>daily_summary!B5</f>
        <v>3640.583333</v>
      </c>
      <c r="C5" s="9">
        <f>daily_summary!C5</f>
        <v>1615.916667</v>
      </c>
      <c r="D5" s="9">
        <f>daily_summary!D5</f>
        <v>2.406666686</v>
      </c>
      <c r="E5" s="9">
        <f>daily_summary!E5</f>
        <v>12</v>
      </c>
      <c r="F5" s="9" t="str">
        <f>daily_summary!F5</f>
        <v>OK</v>
      </c>
      <c r="G5" s="9">
        <f>IFERROR(VLOOKUP(A5,sleep_summary!A:G,3,FALSE),"No sleep data")</f>
        <v>10.86666667</v>
      </c>
      <c r="H5" s="9">
        <f>IFERROR(VLOOKUP(A5,sleep_summary!A:G,5,FALSE),"No sleep data")</f>
        <v>309</v>
      </c>
      <c r="I5" s="9">
        <f>IFERROR(VLOOKUP(A5,sleep_summary!A:G,6,FALSE),0)</f>
        <v>3</v>
      </c>
      <c r="J5" s="9" t="str">
        <f>IFERROR(VLOOKUP(A5,sleep_summary!A:G,7,FALSE),"No sleep data")</f>
        <v>Low sleep records</v>
      </c>
      <c r="K5" s="9" t="str">
        <f t="shared" si="1"/>
        <v>Low</v>
      </c>
    </row>
    <row r="6">
      <c r="A6" s="9">
        <f>daily_summary!A6</f>
        <v>1927972279</v>
      </c>
      <c r="B6" s="9">
        <f>daily_summary!B6</f>
        <v>2180.833333</v>
      </c>
      <c r="C6" s="9">
        <f>daily_summary!C6</f>
        <v>2254</v>
      </c>
      <c r="D6" s="9">
        <f>daily_summary!D6</f>
        <v>1.510833339</v>
      </c>
      <c r="E6" s="9">
        <f>daily_summary!E6</f>
        <v>12</v>
      </c>
      <c r="F6" s="9" t="str">
        <f>daily_summary!F6</f>
        <v>OK</v>
      </c>
      <c r="G6" s="9">
        <f>IFERROR(VLOOKUP(A6,sleep_summary!A:G,3,FALSE),"No sleep data")</f>
        <v>6.95</v>
      </c>
      <c r="H6" s="9">
        <f>IFERROR(VLOOKUP(A6,sleep_summary!A:G,5,FALSE),"No sleep data")</f>
        <v>20.8</v>
      </c>
      <c r="I6" s="9">
        <f>IFERROR(VLOOKUP(A6,sleep_summary!A:G,6,FALSE),0)</f>
        <v>5</v>
      </c>
      <c r="J6" s="9" t="str">
        <f>IFERROR(VLOOKUP(A6,sleep_summary!A:G,7,FALSE),"No sleep data")</f>
        <v>Low sleep records</v>
      </c>
      <c r="K6" s="9" t="str">
        <f t="shared" si="1"/>
        <v>Low</v>
      </c>
    </row>
    <row r="7">
      <c r="A7" s="9">
        <f>daily_summary!A7</f>
        <v>2022484408</v>
      </c>
      <c r="B7" s="9">
        <f>daily_summary!B7</f>
        <v>12174.91667</v>
      </c>
      <c r="C7" s="9">
        <f>daily_summary!C7</f>
        <v>2475.333333</v>
      </c>
      <c r="D7" s="9">
        <f>daily_summary!D7</f>
        <v>8.774166763</v>
      </c>
      <c r="E7" s="9">
        <f>daily_summary!E7</f>
        <v>12</v>
      </c>
      <c r="F7" s="9" t="str">
        <f>daily_summary!F7</f>
        <v>OK</v>
      </c>
      <c r="G7" s="9" t="str">
        <f>IFERROR(VLOOKUP(A7,sleep_summary!A:G,3,FALSE),"No sleep data")</f>
        <v>No sleep data</v>
      </c>
      <c r="H7" s="9" t="str">
        <f>IFERROR(VLOOKUP(A7,sleep_summary!A:G,5,FALSE),"No sleep data")</f>
        <v>No sleep data</v>
      </c>
      <c r="I7" s="9">
        <f>IFERROR(VLOOKUP(A7,sleep_summary!A:G,6,FALSE),0)</f>
        <v>0</v>
      </c>
      <c r="J7" s="9" t="str">
        <f>IFERROR(VLOOKUP(A7,sleep_summary!A:G,7,FALSE),"No sleep data")</f>
        <v>No sleep data</v>
      </c>
      <c r="K7" s="9" t="str">
        <f t="shared" si="1"/>
        <v>High</v>
      </c>
    </row>
    <row r="8">
      <c r="A8" s="9">
        <f>daily_summary!A8</f>
        <v>2026352035</v>
      </c>
      <c r="B8" s="9">
        <f>daily_summary!B8</f>
        <v>3392.75</v>
      </c>
      <c r="C8" s="9">
        <f>daily_summary!C8</f>
        <v>1355.5</v>
      </c>
      <c r="D8" s="9">
        <f>daily_summary!D8</f>
        <v>2.103333314</v>
      </c>
      <c r="E8" s="9">
        <f>daily_summary!E8</f>
        <v>12</v>
      </c>
      <c r="F8" s="9" t="str">
        <f>daily_summary!F8</f>
        <v>OK</v>
      </c>
      <c r="G8" s="9">
        <f>IFERROR(VLOOKUP(A8,sleep_summary!A:G,3,FALSE),"No sleep data")</f>
        <v>8.436309524</v>
      </c>
      <c r="H8" s="9">
        <f>IFERROR(VLOOKUP(A8,sleep_summary!A:G,5,FALSE),"No sleep data")</f>
        <v>31.46428571</v>
      </c>
      <c r="I8" s="9">
        <f>IFERROR(VLOOKUP(A8,sleep_summary!A:G,6,FALSE),0)</f>
        <v>28</v>
      </c>
      <c r="J8" s="9" t="str">
        <f>IFERROR(VLOOKUP(A8,sleep_summary!A:G,7,FALSE),"No sleep data")</f>
        <v>OK</v>
      </c>
      <c r="K8" s="9" t="str">
        <f t="shared" si="1"/>
        <v>Low</v>
      </c>
    </row>
    <row r="9">
      <c r="A9" s="9">
        <f>daily_summary!A9</f>
        <v>2320127002</v>
      </c>
      <c r="B9" s="9">
        <f>daily_summary!B9</f>
        <v>3138.416667</v>
      </c>
      <c r="C9" s="9">
        <f>daily_summary!C9</f>
        <v>1532.083333</v>
      </c>
      <c r="D9" s="9">
        <f>daily_summary!D9</f>
        <v>2.122499973</v>
      </c>
      <c r="E9" s="9">
        <f>daily_summary!E9</f>
        <v>12</v>
      </c>
      <c r="F9" s="9" t="str">
        <f>daily_summary!F9</f>
        <v>OK</v>
      </c>
      <c r="G9" s="9">
        <f>IFERROR(VLOOKUP(A9,sleep_summary!A:G,3,FALSE),"No sleep data")</f>
        <v>1.016666667</v>
      </c>
      <c r="H9" s="9">
        <f>IFERROR(VLOOKUP(A9,sleep_summary!A:G,5,FALSE),"No sleep data")</f>
        <v>8</v>
      </c>
      <c r="I9" s="9">
        <f>IFERROR(VLOOKUP(A9,sleep_summary!A:G,6,FALSE),0)</f>
        <v>1</v>
      </c>
      <c r="J9" s="9" t="str">
        <f>IFERROR(VLOOKUP(A9,sleep_summary!A:G,7,FALSE),"No sleep data")</f>
        <v>Low sleep records</v>
      </c>
      <c r="K9" s="9" t="str">
        <f t="shared" si="1"/>
        <v>Low</v>
      </c>
    </row>
    <row r="10">
      <c r="A10" s="9">
        <f>daily_summary!A10</f>
        <v>2347167796</v>
      </c>
      <c r="B10" s="9">
        <f>daily_summary!B10</f>
        <v>9800.066667</v>
      </c>
      <c r="C10" s="9">
        <f>daily_summary!C10</f>
        <v>2021.333333</v>
      </c>
      <c r="D10" s="9">
        <f>daily_summary!D10</f>
        <v>6.51133337</v>
      </c>
      <c r="E10" s="9">
        <f>daily_summary!E10</f>
        <v>15</v>
      </c>
      <c r="F10" s="9" t="str">
        <f>daily_summary!F10</f>
        <v>OK</v>
      </c>
      <c r="G10" s="9">
        <f>IFERROR(VLOOKUP(A10,sleep_summary!A:G,3,FALSE),"No sleep data")</f>
        <v>7.446666667</v>
      </c>
      <c r="H10" s="9">
        <f>IFERROR(VLOOKUP(A10,sleep_summary!A:G,5,FALSE),"No sleep data")</f>
        <v>44.53333333</v>
      </c>
      <c r="I10" s="9">
        <f>IFERROR(VLOOKUP(A10,sleep_summary!A:G,6,FALSE),0)</f>
        <v>15</v>
      </c>
      <c r="J10" s="9" t="str">
        <f>IFERROR(VLOOKUP(A10,sleep_summary!A:G,7,FALSE),"No sleep data")</f>
        <v>OK</v>
      </c>
      <c r="K10" s="9" t="str">
        <f t="shared" si="1"/>
        <v>Moderate</v>
      </c>
    </row>
    <row r="11">
      <c r="A11" s="9">
        <f>daily_summary!A11</f>
        <v>2873212765</v>
      </c>
      <c r="B11" s="9">
        <f>daily_summary!B11</f>
        <v>6636.583333</v>
      </c>
      <c r="C11" s="9">
        <f>daily_summary!C11</f>
        <v>1695.75</v>
      </c>
      <c r="D11" s="9">
        <f>daily_summary!D11</f>
        <v>4.469166726</v>
      </c>
      <c r="E11" s="9">
        <f>daily_summary!E11</f>
        <v>12</v>
      </c>
      <c r="F11" s="9" t="str">
        <f>daily_summary!F11</f>
        <v>OK</v>
      </c>
      <c r="G11" s="9" t="str">
        <f>IFERROR(VLOOKUP(A11,sleep_summary!A:G,3,FALSE),"No sleep data")</f>
        <v>No sleep data</v>
      </c>
      <c r="H11" s="9" t="str">
        <f>IFERROR(VLOOKUP(A11,sleep_summary!A:G,5,FALSE),"No sleep data")</f>
        <v>No sleep data</v>
      </c>
      <c r="I11" s="9">
        <f>IFERROR(VLOOKUP(A11,sleep_summary!A:G,6,FALSE),0)</f>
        <v>0</v>
      </c>
      <c r="J11" s="9" t="str">
        <f>IFERROR(VLOOKUP(A11,sleep_summary!A:G,7,FALSE),"No sleep data")</f>
        <v>No sleep data</v>
      </c>
      <c r="K11" s="9" t="str">
        <f t="shared" si="1"/>
        <v>Moderate</v>
      </c>
    </row>
    <row r="12">
      <c r="A12" s="9">
        <f>daily_summary!A12</f>
        <v>2891001357</v>
      </c>
      <c r="B12" s="9">
        <f>daily_summary!B12</f>
        <v>773.625</v>
      </c>
      <c r="C12" s="9">
        <f>daily_summary!C12</f>
        <v>2273.375</v>
      </c>
      <c r="D12" s="9">
        <f>daily_summary!D12</f>
        <v>0.6037500054</v>
      </c>
      <c r="E12" s="9">
        <f>daily_summary!E12</f>
        <v>8</v>
      </c>
      <c r="F12" s="9" t="str">
        <f>daily_summary!F12</f>
        <v>OK</v>
      </c>
      <c r="G12" s="9" t="str">
        <f>IFERROR(VLOOKUP(A12,sleep_summary!A:G,3,FALSE),"No sleep data")</f>
        <v>No sleep data</v>
      </c>
      <c r="H12" s="9" t="str">
        <f>IFERROR(VLOOKUP(A12,sleep_summary!A:G,5,FALSE),"No sleep data")</f>
        <v>No sleep data</v>
      </c>
      <c r="I12" s="9">
        <f>IFERROR(VLOOKUP(A12,sleep_summary!A:G,6,FALSE),0)</f>
        <v>0</v>
      </c>
      <c r="J12" s="9" t="str">
        <f>IFERROR(VLOOKUP(A12,sleep_summary!A:G,7,FALSE),"No sleep data")</f>
        <v>No sleep data</v>
      </c>
      <c r="K12" s="9" t="str">
        <f t="shared" si="1"/>
        <v>Low</v>
      </c>
    </row>
    <row r="13">
      <c r="A13" s="9">
        <f>daily_summary!A13</f>
        <v>3372868164</v>
      </c>
      <c r="B13" s="9">
        <f>daily_summary!B13</f>
        <v>6127.5</v>
      </c>
      <c r="C13" s="9">
        <f>daily_summary!C13</f>
        <v>1860.3</v>
      </c>
      <c r="D13" s="9">
        <f>daily_summary!D13</f>
        <v>4.215999985</v>
      </c>
      <c r="E13" s="9">
        <f>daily_summary!E13</f>
        <v>10</v>
      </c>
      <c r="F13" s="9" t="str">
        <f>daily_summary!F13</f>
        <v>OK</v>
      </c>
      <c r="G13" s="9" t="str">
        <f>IFERROR(VLOOKUP(A13,sleep_summary!A:G,3,FALSE),"No sleep data")</f>
        <v>No sleep data</v>
      </c>
      <c r="H13" s="9" t="str">
        <f>IFERROR(VLOOKUP(A13,sleep_summary!A:G,5,FALSE),"No sleep data")</f>
        <v>No sleep data</v>
      </c>
      <c r="I13" s="9">
        <f>IFERROR(VLOOKUP(A13,sleep_summary!A:G,6,FALSE),0)</f>
        <v>0</v>
      </c>
      <c r="J13" s="9" t="str">
        <f>IFERROR(VLOOKUP(A13,sleep_summary!A:G,7,FALSE),"No sleep data")</f>
        <v>No sleep data</v>
      </c>
      <c r="K13" s="9" t="str">
        <f t="shared" si="1"/>
        <v>Moderate</v>
      </c>
    </row>
    <row r="14">
      <c r="A14" s="9">
        <f>daily_summary!A14</f>
        <v>3977333714</v>
      </c>
      <c r="B14" s="9">
        <f>daily_summary!B14</f>
        <v>8663.916667</v>
      </c>
      <c r="C14" s="9">
        <f>daily_summary!C14</f>
        <v>1398.083333</v>
      </c>
      <c r="D14" s="9">
        <f>daily_summary!D14</f>
        <v>5.806666618</v>
      </c>
      <c r="E14" s="9">
        <f>daily_summary!E14</f>
        <v>12</v>
      </c>
      <c r="F14" s="9" t="str">
        <f>daily_summary!F14</f>
        <v>OK</v>
      </c>
      <c r="G14" s="9">
        <f>IFERROR(VLOOKUP(A14,sleep_summary!A:G,3,FALSE),"No sleep data")</f>
        <v>4.894047619</v>
      </c>
      <c r="H14" s="9">
        <f>IFERROR(VLOOKUP(A14,sleep_summary!A:G,5,FALSE),"No sleep data")</f>
        <v>167.5</v>
      </c>
      <c r="I14" s="9">
        <f>IFERROR(VLOOKUP(A14,sleep_summary!A:G,6,FALSE),0)</f>
        <v>28</v>
      </c>
      <c r="J14" s="9" t="str">
        <f>IFERROR(VLOOKUP(A14,sleep_summary!A:G,7,FALSE),"No sleep data")</f>
        <v>Possible outlier</v>
      </c>
      <c r="K14" s="9" t="str">
        <f t="shared" si="1"/>
        <v>Moderate</v>
      </c>
    </row>
    <row r="15">
      <c r="A15" s="9">
        <f>daily_summary!A15</f>
        <v>4020332650</v>
      </c>
      <c r="B15" s="9">
        <f>daily_summary!B15</f>
        <v>5776.59375</v>
      </c>
      <c r="C15" s="9">
        <f>daily_summary!C15</f>
        <v>3075.375</v>
      </c>
      <c r="D15" s="9">
        <f>daily_summary!D15</f>
        <v>4.143749994</v>
      </c>
      <c r="E15" s="9">
        <f>daily_summary!E15</f>
        <v>32</v>
      </c>
      <c r="F15" s="9" t="str">
        <f>daily_summary!F15</f>
        <v>OK</v>
      </c>
      <c r="G15" s="9">
        <f>IFERROR(VLOOKUP(A15,sleep_summary!A:G,3,FALSE),"No sleep data")</f>
        <v>5.822916667</v>
      </c>
      <c r="H15" s="9">
        <f>IFERROR(VLOOKUP(A15,sleep_summary!A:G,5,FALSE),"No sleep data")</f>
        <v>30.375</v>
      </c>
      <c r="I15" s="9">
        <f>IFERROR(VLOOKUP(A15,sleep_summary!A:G,6,FALSE),0)</f>
        <v>8</v>
      </c>
      <c r="J15" s="9" t="str">
        <f>IFERROR(VLOOKUP(A15,sleep_summary!A:G,7,FALSE),"No sleep data")</f>
        <v>OK</v>
      </c>
      <c r="K15" s="9" t="str">
        <f t="shared" si="1"/>
        <v>Moderate</v>
      </c>
    </row>
    <row r="16">
      <c r="A16" s="9">
        <f>daily_summary!A16</f>
        <v>4057192912</v>
      </c>
      <c r="B16" s="9">
        <f>daily_summary!B16</f>
        <v>1887.21875</v>
      </c>
      <c r="C16" s="9">
        <f>daily_summary!C16</f>
        <v>1903.53125</v>
      </c>
      <c r="D16" s="9">
        <f>daily_summary!D16</f>
        <v>1.389062502</v>
      </c>
      <c r="E16" s="9">
        <f>daily_summary!E16</f>
        <v>32</v>
      </c>
      <c r="F16" s="9" t="str">
        <f>daily_summary!F16</f>
        <v>OK</v>
      </c>
      <c r="G16" s="9" t="str">
        <f>IFERROR(VLOOKUP(A16,sleep_summary!A:G,3,FALSE),"No sleep data")</f>
        <v>No sleep data</v>
      </c>
      <c r="H16" s="9" t="str">
        <f>IFERROR(VLOOKUP(A16,sleep_summary!A:G,5,FALSE),"No sleep data")</f>
        <v>No sleep data</v>
      </c>
      <c r="I16" s="9">
        <f>IFERROR(VLOOKUP(A16,sleep_summary!A:G,6,FALSE),0)</f>
        <v>0</v>
      </c>
      <c r="J16" s="9" t="str">
        <f>IFERROR(VLOOKUP(A16,sleep_summary!A:G,7,FALSE),"No sleep data")</f>
        <v>No sleep data</v>
      </c>
      <c r="K16" s="9" t="str">
        <f t="shared" si="1"/>
        <v>Low</v>
      </c>
    </row>
    <row r="17">
      <c r="A17" s="9">
        <f>daily_summary!A17</f>
        <v>4319703577</v>
      </c>
      <c r="B17" s="9">
        <f>daily_summary!B17</f>
        <v>7820.583333</v>
      </c>
      <c r="C17" s="9">
        <f>daily_summary!C17</f>
        <v>1994.25</v>
      </c>
      <c r="D17" s="9">
        <f>daily_summary!D17</f>
        <v>5.255833348</v>
      </c>
      <c r="E17" s="9">
        <f>daily_summary!E17</f>
        <v>12</v>
      </c>
      <c r="F17" s="9" t="str">
        <f>daily_summary!F17</f>
        <v>OK</v>
      </c>
      <c r="G17" s="9">
        <f>IFERROR(VLOOKUP(A17,sleep_summary!A:G,3,FALSE),"No sleep data")</f>
        <v>7.944230769</v>
      </c>
      <c r="H17" s="9">
        <f>IFERROR(VLOOKUP(A17,sleep_summary!A:G,5,FALSE),"No sleep data")</f>
        <v>25.30769231</v>
      </c>
      <c r="I17" s="9">
        <f>IFERROR(VLOOKUP(A17,sleep_summary!A:G,6,FALSE),0)</f>
        <v>26</v>
      </c>
      <c r="J17" s="9" t="str">
        <f>IFERROR(VLOOKUP(A17,sleep_summary!A:G,7,FALSE),"No sleep data")</f>
        <v>OK</v>
      </c>
      <c r="K17" s="9" t="str">
        <f t="shared" si="1"/>
        <v>Moderate</v>
      </c>
    </row>
    <row r="18">
      <c r="A18" s="9">
        <f>daily_summary!A18</f>
        <v>4388161847</v>
      </c>
      <c r="B18" s="9">
        <f>daily_summary!B18</f>
        <v>0</v>
      </c>
      <c r="C18" s="9">
        <f>daily_summary!C18</f>
        <v>1805.25</v>
      </c>
      <c r="D18" s="9">
        <f>daily_summary!D18</f>
        <v>0</v>
      </c>
      <c r="E18" s="9">
        <f>daily_summary!E18</f>
        <v>8</v>
      </c>
      <c r="F18" s="9" t="str">
        <f>daily_summary!F18</f>
        <v>Missing Data</v>
      </c>
      <c r="G18" s="9">
        <f>IFERROR(VLOOKUP(A18,sleep_summary!A:G,3,FALSE),"No sleep data")</f>
        <v>6.71875</v>
      </c>
      <c r="H18" s="9">
        <f>IFERROR(VLOOKUP(A18,sleep_summary!A:G,5,FALSE),"No sleep data")</f>
        <v>23.08333333</v>
      </c>
      <c r="I18" s="9">
        <f>IFERROR(VLOOKUP(A18,sleep_summary!A:G,6,FALSE),0)</f>
        <v>24</v>
      </c>
      <c r="J18" s="9" t="str">
        <f>IFERROR(VLOOKUP(A18,sleep_summary!A:G,7,FALSE),"No sleep data")</f>
        <v>OK</v>
      </c>
      <c r="K18" s="9" t="str">
        <f t="shared" si="1"/>
        <v>Low</v>
      </c>
    </row>
    <row r="19">
      <c r="A19" s="9">
        <f>daily_summary!A19</f>
        <v>4445114986</v>
      </c>
      <c r="B19" s="9">
        <f>daily_summary!B19</f>
        <v>4293.066667</v>
      </c>
      <c r="C19" s="9">
        <f>daily_summary!C19</f>
        <v>2107.8</v>
      </c>
      <c r="D19" s="9">
        <f>daily_summary!D19</f>
        <v>2.90666668</v>
      </c>
      <c r="E19" s="9">
        <f>daily_summary!E19</f>
        <v>15</v>
      </c>
      <c r="F19" s="9" t="str">
        <f>daily_summary!F19</f>
        <v>OK</v>
      </c>
      <c r="G19" s="9">
        <f>IFERROR(VLOOKUP(A19,sleep_summary!A:G,3,FALSE),"No sleep data")</f>
        <v>6.419642857</v>
      </c>
      <c r="H19" s="9">
        <f>IFERROR(VLOOKUP(A19,sleep_summary!A:G,5,FALSE),"No sleep data")</f>
        <v>31.64285714</v>
      </c>
      <c r="I19" s="9">
        <f>IFERROR(VLOOKUP(A19,sleep_summary!A:G,6,FALSE),0)</f>
        <v>28</v>
      </c>
      <c r="J19" s="9" t="str">
        <f>IFERROR(VLOOKUP(A19,sleep_summary!A:G,7,FALSE),"No sleep data")</f>
        <v>OK</v>
      </c>
      <c r="K19" s="9" t="str">
        <f t="shared" si="1"/>
        <v>Low</v>
      </c>
    </row>
    <row r="20">
      <c r="A20" s="9">
        <f>daily_summary!A20</f>
        <v>4558609924</v>
      </c>
      <c r="B20" s="9">
        <f>daily_summary!B20</f>
        <v>5785.25</v>
      </c>
      <c r="C20" s="9">
        <f>daily_summary!C20</f>
        <v>1830.166667</v>
      </c>
      <c r="D20" s="9">
        <f>daily_summary!D20</f>
        <v>3.823333308</v>
      </c>
      <c r="E20" s="9">
        <f>daily_summary!E20</f>
        <v>12</v>
      </c>
      <c r="F20" s="9" t="str">
        <f>daily_summary!F20</f>
        <v>OK</v>
      </c>
      <c r="G20" s="9">
        <f>IFERROR(VLOOKUP(A20,sleep_summary!A:G,3,FALSE),"No sleep data")</f>
        <v>2.126666667</v>
      </c>
      <c r="H20" s="9">
        <f>IFERROR(VLOOKUP(A20,sleep_summary!A:G,5,FALSE),"No sleep data")</f>
        <v>12.4</v>
      </c>
      <c r="I20" s="9">
        <f>IFERROR(VLOOKUP(A20,sleep_summary!A:G,6,FALSE),0)</f>
        <v>5</v>
      </c>
      <c r="J20" s="9" t="str">
        <f>IFERROR(VLOOKUP(A20,sleep_summary!A:G,7,FALSE),"No sleep data")</f>
        <v>Low sleep records</v>
      </c>
      <c r="K20" s="9" t="str">
        <f t="shared" si="1"/>
        <v>Moderate</v>
      </c>
    </row>
    <row r="21">
      <c r="A21" s="9">
        <f>daily_summary!A21</f>
        <v>4702921684</v>
      </c>
      <c r="B21" s="9">
        <f>daily_summary!B21</f>
        <v>7943.4</v>
      </c>
      <c r="C21" s="9">
        <f>daily_summary!C21</f>
        <v>2821.466667</v>
      </c>
      <c r="D21" s="9">
        <f>daily_summary!D21</f>
        <v>6.445999972</v>
      </c>
      <c r="E21" s="9">
        <f>daily_summary!E21</f>
        <v>15</v>
      </c>
      <c r="F21" s="9" t="str">
        <f>daily_summary!F21</f>
        <v>OK</v>
      </c>
      <c r="G21" s="9">
        <f>IFERROR(VLOOKUP(A21,sleep_summary!A:G,3,FALSE),"No sleep data")</f>
        <v>7.019047619</v>
      </c>
      <c r="H21" s="9">
        <f>IFERROR(VLOOKUP(A21,sleep_summary!A:G,5,FALSE),"No sleep data")</f>
        <v>20.82142857</v>
      </c>
      <c r="I21" s="9">
        <f>IFERROR(VLOOKUP(A21,sleep_summary!A:G,6,FALSE),0)</f>
        <v>28</v>
      </c>
      <c r="J21" s="9" t="str">
        <f>IFERROR(VLOOKUP(A21,sleep_summary!A:G,7,FALSE),"No sleep data")</f>
        <v>OK</v>
      </c>
      <c r="K21" s="9" t="str">
        <f t="shared" si="1"/>
        <v>Moderate</v>
      </c>
    </row>
    <row r="22">
      <c r="A22" s="9">
        <f>daily_summary!A22</f>
        <v>5553957443</v>
      </c>
      <c r="B22" s="9">
        <f>daily_summary!B22</f>
        <v>8354.75</v>
      </c>
      <c r="C22" s="9">
        <f>daily_summary!C22</f>
        <v>1802.5</v>
      </c>
      <c r="D22" s="9">
        <f>daily_summary!D22</f>
        <v>5.458333363</v>
      </c>
      <c r="E22" s="9">
        <f>daily_summary!E22</f>
        <v>12</v>
      </c>
      <c r="F22" s="9" t="str">
        <f>daily_summary!F22</f>
        <v>OK</v>
      </c>
      <c r="G22" s="9">
        <f>IFERROR(VLOOKUP(A22,sleep_summary!A:G,3,FALSE),"No sleep data")</f>
        <v>7.724731183</v>
      </c>
      <c r="H22" s="9">
        <f>IFERROR(VLOOKUP(A22,sleep_summary!A:G,5,FALSE),"No sleep data")</f>
        <v>42.38709677</v>
      </c>
      <c r="I22" s="9">
        <f>IFERROR(VLOOKUP(A22,sleep_summary!A:G,6,FALSE),0)</f>
        <v>31</v>
      </c>
      <c r="J22" s="9" t="str">
        <f>IFERROR(VLOOKUP(A22,sleep_summary!A:G,7,FALSE),"No sleep data")</f>
        <v>OK</v>
      </c>
      <c r="K22" s="9" t="str">
        <f t="shared" si="1"/>
        <v>Moderate</v>
      </c>
    </row>
    <row r="23">
      <c r="A23" s="9">
        <f>daily_summary!A23</f>
        <v>5577150313</v>
      </c>
      <c r="B23" s="9">
        <f>daily_summary!B23</f>
        <v>8608.181818</v>
      </c>
      <c r="C23" s="9">
        <f>daily_summary!C23</f>
        <v>3300.272727</v>
      </c>
      <c r="D23" s="9">
        <f>daily_summary!D23</f>
        <v>6.448181781</v>
      </c>
      <c r="E23" s="9">
        <f>daily_summary!E23</f>
        <v>11</v>
      </c>
      <c r="F23" s="9" t="str">
        <f>daily_summary!F23</f>
        <v>OK</v>
      </c>
      <c r="G23" s="9">
        <f>IFERROR(VLOOKUP(A23,sleep_summary!A:G,3,FALSE),"No sleep data")</f>
        <v>7.2</v>
      </c>
      <c r="H23" s="9">
        <f>IFERROR(VLOOKUP(A23,sleep_summary!A:G,5,FALSE),"No sleep data")</f>
        <v>28.61538462</v>
      </c>
      <c r="I23" s="9">
        <f>IFERROR(VLOOKUP(A23,sleep_summary!A:G,6,FALSE),0)</f>
        <v>26</v>
      </c>
      <c r="J23" s="9" t="str">
        <f>IFERROR(VLOOKUP(A23,sleep_summary!A:G,7,FALSE),"No sleep data")</f>
        <v>OK</v>
      </c>
      <c r="K23" s="9" t="str">
        <f t="shared" si="1"/>
        <v>Moderate</v>
      </c>
    </row>
    <row r="24">
      <c r="A24" s="9">
        <f>daily_summary!A24</f>
        <v>6117666160</v>
      </c>
      <c r="B24" s="9">
        <f>daily_summary!B24</f>
        <v>8248.6</v>
      </c>
      <c r="C24" s="9">
        <f>daily_summary!C24</f>
        <v>2099.3</v>
      </c>
      <c r="D24" s="9">
        <f>daily_summary!D24</f>
        <v>6.226999974</v>
      </c>
      <c r="E24" s="9">
        <f>daily_summary!E24</f>
        <v>10</v>
      </c>
      <c r="F24" s="9" t="str">
        <f>daily_summary!F24</f>
        <v>OK</v>
      </c>
      <c r="G24" s="9">
        <f>IFERROR(VLOOKUP(A24,sleep_summary!A:G,3,FALSE),"No sleep data")</f>
        <v>7.97962963</v>
      </c>
      <c r="H24" s="9">
        <f>IFERROR(VLOOKUP(A24,sleep_summary!A:G,5,FALSE),"No sleep data")</f>
        <v>31.38888889</v>
      </c>
      <c r="I24" s="9">
        <f>IFERROR(VLOOKUP(A24,sleep_summary!A:G,6,FALSE),0)</f>
        <v>18</v>
      </c>
      <c r="J24" s="9" t="str">
        <f>IFERROR(VLOOKUP(A24,sleep_summary!A:G,7,FALSE),"No sleep data")</f>
        <v>OK</v>
      </c>
      <c r="K24" s="9" t="str">
        <f t="shared" si="1"/>
        <v>Moderate</v>
      </c>
    </row>
    <row r="25">
      <c r="A25" s="9">
        <f>daily_summary!A25</f>
        <v>6290855005</v>
      </c>
      <c r="B25" s="9">
        <f>daily_summary!B25</f>
        <v>1618.1</v>
      </c>
      <c r="C25" s="9">
        <f>daily_summary!C25</f>
        <v>2165.6</v>
      </c>
      <c r="D25" s="9">
        <f>daily_summary!D25</f>
        <v>1.223000002</v>
      </c>
      <c r="E25" s="9">
        <f>daily_summary!E25</f>
        <v>10</v>
      </c>
      <c r="F25" s="9" t="str">
        <f>daily_summary!F25</f>
        <v>OK</v>
      </c>
      <c r="G25" s="9" t="str">
        <f>IFERROR(VLOOKUP(A25,sleep_summary!A:G,3,FALSE),"No sleep data")</f>
        <v>No sleep data</v>
      </c>
      <c r="H25" s="9" t="str">
        <f>IFERROR(VLOOKUP(A25,sleep_summary!A:G,5,FALSE),"No sleep data")</f>
        <v>No sleep data</v>
      </c>
      <c r="I25" s="9">
        <f>IFERROR(VLOOKUP(A25,sleep_summary!A:G,6,FALSE),0)</f>
        <v>0</v>
      </c>
      <c r="J25" s="9" t="str">
        <f>IFERROR(VLOOKUP(A25,sleep_summary!A:G,7,FALSE),"No sleep data")</f>
        <v>No sleep data</v>
      </c>
      <c r="K25" s="9" t="str">
        <f t="shared" si="1"/>
        <v>Low</v>
      </c>
    </row>
    <row r="26">
      <c r="A26" s="9">
        <f>daily_summary!A26</f>
        <v>6391747486</v>
      </c>
      <c r="B26" s="9">
        <f>daily_summary!B26</f>
        <v>1336.888889</v>
      </c>
      <c r="C26" s="9">
        <f>daily_summary!C26</f>
        <v>1763.111111</v>
      </c>
      <c r="D26" s="9">
        <f>daily_summary!D26</f>
        <v>1.074444466</v>
      </c>
      <c r="E26" s="9">
        <f>daily_summary!E26</f>
        <v>9</v>
      </c>
      <c r="F26" s="9" t="str">
        <f>daily_summary!F26</f>
        <v>OK</v>
      </c>
      <c r="G26" s="9" t="str">
        <f>IFERROR(VLOOKUP(A26,sleep_summary!A:G,3,FALSE),"No sleep data")</f>
        <v>No sleep data</v>
      </c>
      <c r="H26" s="9" t="str">
        <f>IFERROR(VLOOKUP(A26,sleep_summary!A:G,5,FALSE),"No sleep data")</f>
        <v>No sleep data</v>
      </c>
      <c r="I26" s="9">
        <f>IFERROR(VLOOKUP(A26,sleep_summary!A:G,6,FALSE),0)</f>
        <v>0</v>
      </c>
      <c r="J26" s="9" t="str">
        <f>IFERROR(VLOOKUP(A26,sleep_summary!A:G,7,FALSE),"No sleep data")</f>
        <v>No sleep data</v>
      </c>
      <c r="K26" s="9" t="str">
        <f t="shared" si="1"/>
        <v>Low</v>
      </c>
    </row>
    <row r="27">
      <c r="A27" s="9">
        <f>daily_summary!A27</f>
        <v>6775888955</v>
      </c>
      <c r="B27" s="9">
        <f>daily_summary!B27</f>
        <v>5559</v>
      </c>
      <c r="C27" s="9">
        <f>daily_summary!C27</f>
        <v>2724.777778</v>
      </c>
      <c r="D27" s="9">
        <f>daily_summary!D27</f>
        <v>3.985555517</v>
      </c>
      <c r="E27" s="9">
        <f>daily_summary!E27</f>
        <v>9</v>
      </c>
      <c r="F27" s="9" t="str">
        <f>daily_summary!F27</f>
        <v>OK</v>
      </c>
      <c r="G27" s="9">
        <f>IFERROR(VLOOKUP(A27,sleep_summary!A:G,3,FALSE),"No sleep data")</f>
        <v>5.827777778</v>
      </c>
      <c r="H27" s="9">
        <f>IFERROR(VLOOKUP(A27,sleep_summary!A:G,5,FALSE),"No sleep data")</f>
        <v>19.33333333</v>
      </c>
      <c r="I27" s="9">
        <f>IFERROR(VLOOKUP(A27,sleep_summary!A:G,6,FALSE),0)</f>
        <v>3</v>
      </c>
      <c r="J27" s="9" t="str">
        <f>IFERROR(VLOOKUP(A27,sleep_summary!A:G,7,FALSE),"No sleep data")</f>
        <v>Low sleep records</v>
      </c>
      <c r="K27" s="9" t="str">
        <f t="shared" si="1"/>
        <v>Moderate</v>
      </c>
    </row>
    <row r="28">
      <c r="A28" s="9">
        <f>daily_summary!A28</f>
        <v>6962181067</v>
      </c>
      <c r="B28" s="9">
        <f>daily_summary!B28</f>
        <v>12639.71429</v>
      </c>
      <c r="C28" s="9">
        <f>daily_summary!C28</f>
        <v>2089.214286</v>
      </c>
      <c r="D28" s="9">
        <f>daily_summary!D28</f>
        <v>8.647857155</v>
      </c>
      <c r="E28" s="9">
        <f>daily_summary!E28</f>
        <v>14</v>
      </c>
      <c r="F28" s="9" t="str">
        <f>daily_summary!F28</f>
        <v>OK</v>
      </c>
      <c r="G28" s="9">
        <f>IFERROR(VLOOKUP(A28,sleep_summary!A:G,3,FALSE),"No sleep data")</f>
        <v>7.466666667</v>
      </c>
      <c r="H28" s="9">
        <f>IFERROR(VLOOKUP(A28,sleep_summary!A:G,5,FALSE),"No sleep data")</f>
        <v>18.12903226</v>
      </c>
      <c r="I28" s="9">
        <f>IFERROR(VLOOKUP(A28,sleep_summary!A:G,6,FALSE),0)</f>
        <v>31</v>
      </c>
      <c r="J28" s="9" t="str">
        <f>IFERROR(VLOOKUP(A28,sleep_summary!A:G,7,FALSE),"No sleep data")</f>
        <v>OK</v>
      </c>
      <c r="K28" s="9" t="str">
        <f t="shared" si="1"/>
        <v>High</v>
      </c>
    </row>
    <row r="29">
      <c r="A29" s="9">
        <f>daily_summary!A29</f>
        <v>7007744171</v>
      </c>
      <c r="B29" s="9">
        <f>daily_summary!B29</f>
        <v>12260.33333</v>
      </c>
      <c r="C29" s="9">
        <f>daily_summary!C29</f>
        <v>2627.083333</v>
      </c>
      <c r="D29" s="9">
        <f>daily_summary!D29</f>
        <v>8.856666684</v>
      </c>
      <c r="E29" s="9">
        <f>daily_summary!E29</f>
        <v>12</v>
      </c>
      <c r="F29" s="9" t="str">
        <f>daily_summary!F29</f>
        <v>OK</v>
      </c>
      <c r="G29" s="9">
        <f>IFERROR(VLOOKUP(A29,sleep_summary!A:G,3,FALSE),"No sleep data")</f>
        <v>1.141666667</v>
      </c>
      <c r="H29" s="9">
        <f>IFERROR(VLOOKUP(A29,sleep_summary!A:G,5,FALSE),"No sleep data")</f>
        <v>3</v>
      </c>
      <c r="I29" s="9">
        <f>IFERROR(VLOOKUP(A29,sleep_summary!A:G,6,FALSE),0)</f>
        <v>2</v>
      </c>
      <c r="J29" s="9" t="str">
        <f>IFERROR(VLOOKUP(A29,sleep_summary!A:G,7,FALSE),"No sleep data")</f>
        <v>Low sleep records</v>
      </c>
      <c r="K29" s="9" t="str">
        <f t="shared" si="1"/>
        <v>High</v>
      </c>
    </row>
    <row r="30">
      <c r="A30" s="9">
        <f>daily_summary!A30</f>
        <v>7086361926</v>
      </c>
      <c r="B30" s="9">
        <f>daily_summary!B30</f>
        <v>6103.916667</v>
      </c>
      <c r="C30" s="9">
        <f>daily_summary!C30</f>
        <v>2177</v>
      </c>
      <c r="D30" s="9">
        <f>daily_summary!D30</f>
        <v>4.094166626</v>
      </c>
      <c r="E30" s="9">
        <f>daily_summary!E30</f>
        <v>12</v>
      </c>
      <c r="F30" s="9" t="str">
        <f>daily_summary!F30</f>
        <v>OK</v>
      </c>
      <c r="G30" s="9">
        <f>IFERROR(VLOOKUP(A30,sleep_summary!A:G,3,FALSE),"No sleep data")</f>
        <v>7.552083333</v>
      </c>
      <c r="H30" s="9">
        <f>IFERROR(VLOOKUP(A30,sleep_summary!A:G,5,FALSE),"No sleep data")</f>
        <v>13.29166667</v>
      </c>
      <c r="I30" s="9">
        <f>IFERROR(VLOOKUP(A30,sleep_summary!A:G,6,FALSE),0)</f>
        <v>24</v>
      </c>
      <c r="J30" s="9" t="str">
        <f>IFERROR(VLOOKUP(A30,sleep_summary!A:G,7,FALSE),"No sleep data")</f>
        <v>OK</v>
      </c>
      <c r="K30" s="9" t="str">
        <f t="shared" si="1"/>
        <v>Moderate</v>
      </c>
    </row>
    <row r="31">
      <c r="A31" s="9">
        <f>daily_summary!A31</f>
        <v>8053475328</v>
      </c>
      <c r="B31" s="9">
        <f>daily_summary!B31</f>
        <v>14844.36364</v>
      </c>
      <c r="C31" s="9">
        <f>daily_summary!C31</f>
        <v>2893.181818</v>
      </c>
      <c r="D31" s="9">
        <f>daily_summary!D31</f>
        <v>11.5763636</v>
      </c>
      <c r="E31" s="9">
        <f>daily_summary!E31</f>
        <v>11</v>
      </c>
      <c r="F31" s="9" t="str">
        <f>daily_summary!F31</f>
        <v>OK</v>
      </c>
      <c r="G31" s="9">
        <f>IFERROR(VLOOKUP(A31,sleep_summary!A:G,3,FALSE),"No sleep data")</f>
        <v>4.95</v>
      </c>
      <c r="H31" s="9">
        <f>IFERROR(VLOOKUP(A31,sleep_summary!A:G,5,FALSE),"No sleep data")</f>
        <v>4.666666667</v>
      </c>
      <c r="I31" s="9">
        <f>IFERROR(VLOOKUP(A31,sleep_summary!A:G,6,FALSE),0)</f>
        <v>3</v>
      </c>
      <c r="J31" s="9" t="str">
        <f>IFERROR(VLOOKUP(A31,sleep_summary!A:G,7,FALSE),"No sleep data")</f>
        <v>Low sleep records</v>
      </c>
      <c r="K31" s="9" t="str">
        <f t="shared" si="1"/>
        <v>High</v>
      </c>
    </row>
    <row r="32">
      <c r="A32" s="9">
        <f>daily_summary!A32</f>
        <v>8253242879</v>
      </c>
      <c r="B32" s="9">
        <f>daily_summary!B32</f>
        <v>2389.916667</v>
      </c>
      <c r="C32" s="9">
        <f>daily_summary!C32</f>
        <v>1463</v>
      </c>
      <c r="D32" s="9">
        <f>daily_summary!D32</f>
        <v>1.679166635</v>
      </c>
      <c r="E32" s="9">
        <f>daily_summary!E32</f>
        <v>12</v>
      </c>
      <c r="F32" s="9" t="str">
        <f>daily_summary!F32</f>
        <v>OK</v>
      </c>
      <c r="G32" s="9" t="str">
        <f>IFERROR(VLOOKUP(A32,sleep_summary!A:G,3,FALSE),"No sleep data")</f>
        <v>No sleep data</v>
      </c>
      <c r="H32" s="9" t="str">
        <f>IFERROR(VLOOKUP(A32,sleep_summary!A:G,5,FALSE),"No sleep data")</f>
        <v>No sleep data</v>
      </c>
      <c r="I32" s="9">
        <f>IFERROR(VLOOKUP(A32,sleep_summary!A:G,6,FALSE),0)</f>
        <v>0</v>
      </c>
      <c r="J32" s="9" t="str">
        <f>IFERROR(VLOOKUP(A32,sleep_summary!A:G,7,FALSE),"No sleep data")</f>
        <v>No sleep data</v>
      </c>
      <c r="K32" s="9" t="str">
        <f t="shared" si="1"/>
        <v>Low</v>
      </c>
    </row>
    <row r="33">
      <c r="A33" s="9">
        <f>daily_summary!A33</f>
        <v>8378563200</v>
      </c>
      <c r="B33" s="9">
        <f>daily_summary!B33</f>
        <v>8135.25</v>
      </c>
      <c r="C33" s="9">
        <f>daily_summary!C33</f>
        <v>3356.166667</v>
      </c>
      <c r="D33" s="9">
        <f>daily_summary!D33</f>
        <v>6.451666633</v>
      </c>
      <c r="E33" s="9">
        <f>daily_summary!E33</f>
        <v>12</v>
      </c>
      <c r="F33" s="9" t="str">
        <f>daily_summary!F33</f>
        <v>OK</v>
      </c>
      <c r="G33" s="9">
        <f>IFERROR(VLOOKUP(A33,sleep_summary!A:G,3,FALSE),"No sleep data")</f>
        <v>7.3890625</v>
      </c>
      <c r="H33" s="9">
        <f>IFERROR(VLOOKUP(A33,sleep_summary!A:G,5,FALSE),"No sleep data")</f>
        <v>39.96875</v>
      </c>
      <c r="I33" s="9">
        <f>IFERROR(VLOOKUP(A33,sleep_summary!A:G,6,FALSE),0)</f>
        <v>32</v>
      </c>
      <c r="J33" s="9" t="str">
        <f>IFERROR(VLOOKUP(A33,sleep_summary!A:G,7,FALSE),"No sleep data")</f>
        <v>OK</v>
      </c>
      <c r="K33" s="9" t="str">
        <f t="shared" si="1"/>
        <v>Moderate</v>
      </c>
    </row>
    <row r="34">
      <c r="A34" s="9">
        <f>daily_summary!A34</f>
        <v>8583815059</v>
      </c>
      <c r="B34" s="9">
        <f>daily_summary!B34</f>
        <v>3045.5</v>
      </c>
      <c r="C34" s="9">
        <f>daily_summary!C34</f>
        <v>2391.25</v>
      </c>
      <c r="D34" s="9">
        <f>daily_summary!D34</f>
        <v>2.377500013</v>
      </c>
      <c r="E34" s="9">
        <f>daily_summary!E34</f>
        <v>8</v>
      </c>
      <c r="F34" s="9" t="str">
        <f>daily_summary!F34</f>
        <v>OK</v>
      </c>
      <c r="G34" s="9" t="str">
        <f>IFERROR(VLOOKUP(A34,sleep_summary!A:G,3,FALSE),"No sleep data")</f>
        <v>No sleep data</v>
      </c>
      <c r="H34" s="9" t="str">
        <f>IFERROR(VLOOKUP(A34,sleep_summary!A:G,5,FALSE),"No sleep data")</f>
        <v>No sleep data</v>
      </c>
      <c r="I34" s="9">
        <f>IFERROR(VLOOKUP(A34,sleep_summary!A:G,6,FALSE),0)</f>
        <v>0</v>
      </c>
      <c r="J34" s="9" t="str">
        <f>IFERROR(VLOOKUP(A34,sleep_summary!A:G,7,FALSE),"No sleep data")</f>
        <v>No sleep data</v>
      </c>
      <c r="K34" s="9" t="str">
        <f t="shared" si="1"/>
        <v>Low</v>
      </c>
    </row>
    <row r="35">
      <c r="A35" s="9">
        <f>daily_summary!A35</f>
        <v>8792009665</v>
      </c>
      <c r="B35" s="9">
        <f>daily_summary!B35</f>
        <v>3094.916667</v>
      </c>
      <c r="C35" s="9">
        <f>daily_summary!C35</f>
        <v>2073.666667</v>
      </c>
      <c r="D35" s="9">
        <f>daily_summary!D35</f>
        <v>1.980833341</v>
      </c>
      <c r="E35" s="9">
        <f>daily_summary!E35</f>
        <v>12</v>
      </c>
      <c r="F35" s="9" t="str">
        <f>daily_summary!F35</f>
        <v>OK</v>
      </c>
      <c r="G35" s="9">
        <f>IFERROR(VLOOKUP(A35,sleep_summary!A:G,3,FALSE),"No sleep data")</f>
        <v>7.261111111</v>
      </c>
      <c r="H35" s="9">
        <f>IFERROR(VLOOKUP(A35,sleep_summary!A:G,5,FALSE),"No sleep data")</f>
        <v>18.13333333</v>
      </c>
      <c r="I35" s="9">
        <f>IFERROR(VLOOKUP(A35,sleep_summary!A:G,6,FALSE),0)</f>
        <v>15</v>
      </c>
      <c r="J35" s="9" t="str">
        <f>IFERROR(VLOOKUP(A35,sleep_summary!A:G,7,FALSE),"No sleep data")</f>
        <v>OK</v>
      </c>
      <c r="K35" s="9" t="str">
        <f t="shared" si="1"/>
        <v>Low</v>
      </c>
    </row>
    <row r="36">
      <c r="A36" s="9">
        <f>daily_summary!A36</f>
        <v>8877689391</v>
      </c>
      <c r="B36" s="9">
        <f>daily_summary!B36</f>
        <v>17417.08333</v>
      </c>
      <c r="C36" s="9">
        <f>daily_summary!C36</f>
        <v>3451.166667</v>
      </c>
      <c r="D36" s="9">
        <f>daily_summary!D36</f>
        <v>14.09083321</v>
      </c>
      <c r="E36" s="9">
        <f>daily_summary!E36</f>
        <v>12</v>
      </c>
      <c r="F36" s="9" t="str">
        <f>daily_summary!F36</f>
        <v>OK</v>
      </c>
      <c r="G36" s="9" t="str">
        <f>IFERROR(VLOOKUP(A36,sleep_summary!A:G,3,FALSE),"No sleep data")</f>
        <v>No sleep data</v>
      </c>
      <c r="H36" s="9" t="str">
        <f>IFERROR(VLOOKUP(A36,sleep_summary!A:G,5,FALSE),"No sleep data")</f>
        <v>No sleep data</v>
      </c>
      <c r="I36" s="9">
        <f>IFERROR(VLOOKUP(A36,sleep_summary!A:G,6,FALSE),0)</f>
        <v>0</v>
      </c>
      <c r="J36" s="9" t="str">
        <f>IFERROR(VLOOKUP(A36,sleep_summary!A:G,7,FALSE),"No sleep data")</f>
        <v>No sleep data</v>
      </c>
      <c r="K36" s="9" t="str">
        <f t="shared" si="1"/>
        <v>High</v>
      </c>
    </row>
    <row r="37">
      <c r="A37" s="9" t="str">
        <f>daily_summary!A37</f>
        <v/>
      </c>
    </row>
    <row r="38">
      <c r="A38" s="9" t="str">
        <f>daily_summary!A38</f>
        <v/>
      </c>
    </row>
    <row r="39">
      <c r="A39" s="9" t="str">
        <f>daily_summary!A39</f>
        <v/>
      </c>
    </row>
    <row r="40">
      <c r="A40" s="9" t="str">
        <f>daily_summary!A40</f>
        <v/>
      </c>
    </row>
    <row r="41">
      <c r="A41" s="9" t="str">
        <f>daily_summary!A41</f>
        <v/>
      </c>
    </row>
    <row r="42">
      <c r="A42" s="9" t="str">
        <f>daily_summary!A42</f>
        <v/>
      </c>
    </row>
    <row r="43">
      <c r="A43" s="9" t="str">
        <f>daily_summary!A43</f>
        <v/>
      </c>
    </row>
    <row r="44">
      <c r="A44" s="9" t="str">
        <f>daily_summary!A44</f>
        <v/>
      </c>
    </row>
    <row r="45">
      <c r="A45" s="9" t="str">
        <f>daily_summary!A45</f>
        <v/>
      </c>
    </row>
    <row r="46">
      <c r="A46" s="9" t="str">
        <f>daily_summary!A46</f>
        <v/>
      </c>
    </row>
    <row r="47">
      <c r="A47" s="9" t="str">
        <f>daily_summary!A47</f>
        <v/>
      </c>
    </row>
    <row r="48">
      <c r="A48" s="9" t="str">
        <f>daily_summary!A48</f>
        <v/>
      </c>
    </row>
    <row r="49">
      <c r="A49" s="9" t="str">
        <f>daily_summary!A49</f>
        <v/>
      </c>
    </row>
    <row r="50">
      <c r="A50" s="9" t="str">
        <f>daily_summary!A50</f>
        <v/>
      </c>
    </row>
    <row r="51">
      <c r="A51" s="9" t="str">
        <f>daily_summary!A51</f>
        <v/>
      </c>
    </row>
    <row r="52">
      <c r="A52" s="9" t="str">
        <f>daily_summary!A52</f>
        <v/>
      </c>
    </row>
    <row r="53">
      <c r="A53" s="9" t="str">
        <f>daily_summary!A53</f>
        <v/>
      </c>
    </row>
    <row r="54">
      <c r="A54" s="9" t="str">
        <f>daily_summary!A54</f>
        <v/>
      </c>
    </row>
    <row r="55">
      <c r="A55" s="9" t="str">
        <f>daily_summary!A55</f>
        <v/>
      </c>
    </row>
    <row r="56">
      <c r="A56" s="9" t="str">
        <f>daily_summary!A56</f>
        <v/>
      </c>
    </row>
    <row r="57">
      <c r="A57" s="9" t="str">
        <f>daily_summary!A57</f>
        <v/>
      </c>
    </row>
    <row r="58">
      <c r="A58" s="9" t="str">
        <f>daily_summary!A58</f>
        <v/>
      </c>
    </row>
    <row r="59">
      <c r="A59" s="9" t="str">
        <f>daily_summary!A59</f>
        <v/>
      </c>
    </row>
    <row r="60">
      <c r="A60" s="9" t="str">
        <f>daily_summary!A60</f>
        <v/>
      </c>
    </row>
    <row r="61">
      <c r="A61" s="9" t="str">
        <f>daily_summary!A61</f>
        <v/>
      </c>
    </row>
    <row r="62">
      <c r="A62" s="9" t="str">
        <f>daily_summary!A62</f>
        <v/>
      </c>
    </row>
    <row r="63">
      <c r="A63" s="9" t="str">
        <f>daily_summary!A63</f>
        <v/>
      </c>
    </row>
    <row r="64">
      <c r="A64" s="9" t="str">
        <f>daily_summary!A64</f>
        <v/>
      </c>
    </row>
    <row r="65">
      <c r="A65" s="9" t="str">
        <f>daily_summary!A65</f>
        <v/>
      </c>
    </row>
    <row r="66">
      <c r="A66" s="9" t="str">
        <f>daily_summary!A66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1" t="s">
        <v>34</v>
      </c>
    </row>
    <row r="2">
      <c r="A2" s="6" t="s">
        <v>35</v>
      </c>
      <c r="B2" s="12">
        <f>COUNTA(Combined_User_Summary!A2:A1000)</f>
        <v>35</v>
      </c>
    </row>
    <row r="3">
      <c r="A3" s="6" t="s">
        <v>36</v>
      </c>
      <c r="B3" s="12">
        <f>COUNTA(sleep_summary!A2:A1000)</f>
        <v>24</v>
      </c>
    </row>
    <row r="4">
      <c r="A4" s="6" t="s">
        <v>37</v>
      </c>
      <c r="B4" s="12">
        <f>AVERAGE(Combined_User_Summary!B2:B1000)</f>
        <v>6538.097398</v>
      </c>
    </row>
    <row r="5">
      <c r="A5" s="6" t="s">
        <v>38</v>
      </c>
      <c r="B5" s="12">
        <f>MEDIAN(Combined_User_Summary!B2:B1000)</f>
        <v>6103.916667</v>
      </c>
    </row>
    <row r="6">
      <c r="A6" s="6" t="s">
        <v>39</v>
      </c>
      <c r="B6" s="12">
        <f>Average(Combined_User_Summary!C2:C1000)</f>
        <v>2184.637454</v>
      </c>
    </row>
    <row r="7">
      <c r="A7" s="6" t="s">
        <v>40</v>
      </c>
      <c r="B7" s="12">
        <f>AVERAGE(Combined_User_Summary!D2:D1000)</f>
        <v>4.678966917</v>
      </c>
    </row>
    <row r="8">
      <c r="A8" s="6" t="s">
        <v>41</v>
      </c>
      <c r="B8" s="12">
        <f>AVERAGEIF(Combined_User_Summary!J2:J1000,"&lt;&gt;No sleep data",Combined_User_Summary!G2:G1000)</f>
        <v>6.294125302</v>
      </c>
    </row>
    <row r="9">
      <c r="A9" s="6" t="s">
        <v>42</v>
      </c>
      <c r="B9" s="12">
        <f>IFERROR(__xludf.DUMMYFUNCTION("MEDIAN(FILTER(Combined_User_Summary!G2:G1000,Combined_User_Summary!J2:J1000&lt;&gt;""No sleep data""))"),6.98452380952381)</f>
        <v>6.98452381</v>
      </c>
    </row>
    <row r="10">
      <c r="A10" s="6" t="s">
        <v>43</v>
      </c>
      <c r="B10" s="12">
        <f>AVERAGEIF(Combined_User_Summary!J2:J1000,"&lt;&gt;No sleep data",Combined_User_Summary!H2:H1000)</f>
        <v>42.44842012</v>
      </c>
    </row>
    <row r="11">
      <c r="A11" s="6" t="s">
        <v>44</v>
      </c>
      <c r="B11" s="12">
        <f>COUNTIF(Combined_User_Summary!F2:F34,"&lt;&gt;OK")</f>
        <v>1</v>
      </c>
    </row>
    <row r="12">
      <c r="A12" s="6" t="s">
        <v>45</v>
      </c>
      <c r="B12" s="12">
        <f>COUNTIF(Combined_User_Summary!J2:J34,"&lt;&gt;OK")</f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0.75"/>
    <col customWidth="1" min="5" max="5" width="10.38"/>
    <col customWidth="1" min="6" max="6" width="13.38"/>
    <col customWidth="1" min="7" max="7" width="19.0"/>
    <col customWidth="1" min="8" max="8" width="16.5"/>
    <col customWidth="1" min="9" max="9" width="18.75"/>
  </cols>
  <sheetData>
    <row r="1">
      <c r="A1" s="6" t="s">
        <v>33</v>
      </c>
      <c r="B1" s="6" t="s">
        <v>46</v>
      </c>
      <c r="C1" s="6" t="s">
        <v>21</v>
      </c>
      <c r="D1" s="6" t="s">
        <v>22</v>
      </c>
      <c r="E1" s="6" t="s">
        <v>23</v>
      </c>
      <c r="F1" s="6" t="s">
        <v>27</v>
      </c>
      <c r="G1" s="6" t="s">
        <v>29</v>
      </c>
      <c r="H1" s="6" t="s">
        <v>47</v>
      </c>
      <c r="I1" s="6" t="s">
        <v>48</v>
      </c>
    </row>
    <row r="2">
      <c r="A2" s="6" t="s">
        <v>49</v>
      </c>
      <c r="B2" s="9">
        <f>COUNTIF(Combined_User_Summary!K:K,A2)</f>
        <v>14</v>
      </c>
      <c r="C2" s="13">
        <f>AVERAGEIF(Combined_User_Summary!K:K,A2,Combined_User_Summary!B:B)</f>
        <v>2501.291366</v>
      </c>
      <c r="D2" s="13">
        <f>AVERAGEIF(Combined_User_Summary!K:K,A2,Combined_User_Summary!C:C)</f>
        <v>1861.212769</v>
      </c>
      <c r="E2" s="10">
        <f>AVERAGEIF(Combined_User_Summary!K:K,A2,Combined_User_Summary!D:D)</f>
        <v>1.723185645</v>
      </c>
      <c r="F2" s="10">
        <f>AVERAGEIF(Combined_User_Summary!K:K,A2,Combined_User_Summary!G:G)</f>
        <v>6.809878118</v>
      </c>
      <c r="G2" s="13">
        <f>AVERAGEIF(Combined_User_Summary!K:K,A2,Combined_User_Summary!H:H)</f>
        <v>63.16054422</v>
      </c>
      <c r="H2" s="9">
        <f>COUNTIFS(Combined_User_Summary!K:K,A2,Combined_User_Summary!J:J,"&lt;&gt;No sleep data")</f>
        <v>7</v>
      </c>
      <c r="I2" s="9">
        <f>COUNTIFS(Combined_User_Summary!K:K,A2,Combined_User_Summary!J:J,"No sleep data")</f>
        <v>7</v>
      </c>
    </row>
    <row r="3">
      <c r="A3" s="6" t="s">
        <v>50</v>
      </c>
      <c r="B3" s="9">
        <f>COUNTIF(Combined_User_Summary!K:K,A3)</f>
        <v>15</v>
      </c>
      <c r="C3" s="13">
        <f>AVERAGEIF(Combined_User_Summary!K:K,A3,Combined_User_Summary!B:B)</f>
        <v>7522.559482</v>
      </c>
      <c r="D3" s="13">
        <f>AVERAGEIF(Combined_User_Summary!K:K,A3,Combined_User_Summary!C:C)</f>
        <v>2338.209478</v>
      </c>
      <c r="E3" s="10">
        <f>AVERAGEIF(Combined_User_Summary!K:K,A3,Combined_User_Summary!D:D)</f>
        <v>5.339065814</v>
      </c>
      <c r="F3" s="10">
        <f>AVERAGEIF(Combined_User_Summary!K:K,A3,Combined_User_Summary!G:G)</f>
        <v>6.448220033</v>
      </c>
      <c r="G3" s="13">
        <f>AVERAGEIF(Combined_User_Summary!K:K,A3,Combined_User_Summary!H:H)</f>
        <v>40.60942881</v>
      </c>
      <c r="H3" s="9">
        <f>COUNTIFS(Combined_User_Summary!K:K,A3,Combined_User_Summary!J:J,"&lt;&gt;No sleep data")</f>
        <v>13</v>
      </c>
      <c r="I3" s="9">
        <f>COUNTIFS(Combined_User_Summary!K:K,A3,Combined_User_Summary!J:J,"No sleep data")</f>
        <v>2</v>
      </c>
    </row>
    <row r="4">
      <c r="A4" s="6" t="s">
        <v>51</v>
      </c>
      <c r="B4" s="9">
        <f>COUNTIF(Combined_User_Summary!K:K,A4)</f>
        <v>6</v>
      </c>
      <c r="C4" s="13">
        <f>AVERAGEIF(Combined_User_Summary!K:K,A4,Combined_User_Summary!B:B)</f>
        <v>13496.15626</v>
      </c>
      <c r="D4" s="13">
        <f>AVERAGEIF(Combined_User_Summary!K:K,A4,Combined_User_Summary!C:C)</f>
        <v>2555.364994</v>
      </c>
      <c r="E4" s="10">
        <f>AVERAGEIF(Combined_User_Summary!K:K,A4,Combined_User_Summary!D:D)</f>
        <v>9.925542644</v>
      </c>
      <c r="F4" s="10">
        <f>AVERAGEIF(Combined_User_Summary!K:K,A4,Combined_User_Summary!G:G)</f>
        <v>4.89075</v>
      </c>
      <c r="G4" s="13">
        <f>AVERAGEIF(Combined_User_Summary!K:K,A4,Combined_User_Summary!H:H)</f>
        <v>12.17892473</v>
      </c>
      <c r="H4" s="9">
        <f>COUNTIFS(Combined_User_Summary!K:K,A4,Combined_User_Summary!J:J,"&lt;&gt;No sleep data")</f>
        <v>4</v>
      </c>
      <c r="I4" s="9">
        <f>COUNTIFS(Combined_User_Summary!K:K,A4,Combined_User_Summary!J:J,"No sleep data")</f>
        <v>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38"/>
    <col customWidth="1" min="4" max="4" width="20.25"/>
    <col customWidth="1" min="5" max="5" width="20.63"/>
    <col customWidth="1" min="6" max="6" width="23.63"/>
    <col customWidth="1" min="7" max="7" width="29.25"/>
  </cols>
  <sheetData>
    <row r="1"/>
    <row r="2"/>
    <row r="3"/>
    <row r="4"/>
    <row r="5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4.5"/>
  </cols>
  <sheetData>
    <row r="1"/>
    <row r="2"/>
    <row r="3"/>
    <row r="4"/>
    <row r="5"/>
    <row r="6"/>
    <row r="8">
      <c r="A8" s="9" t="s">
        <v>33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58</v>
      </c>
    </row>
    <row r="9">
      <c r="A9" s="9" t="s">
        <v>49</v>
      </c>
      <c r="B9" s="9">
        <v>3.0</v>
      </c>
      <c r="C9" s="9">
        <v>7.0</v>
      </c>
      <c r="D9" s="9">
        <v>4.0</v>
      </c>
      <c r="F9" s="9">
        <v>14.0</v>
      </c>
    </row>
    <row r="10">
      <c r="A10" s="9" t="s">
        <v>50</v>
      </c>
      <c r="B10" s="9">
        <v>3.0</v>
      </c>
      <c r="C10" s="9">
        <v>2.0</v>
      </c>
      <c r="D10" s="9">
        <v>9.0</v>
      </c>
      <c r="E10" s="9">
        <v>1.0</v>
      </c>
      <c r="F10" s="9">
        <v>15.0</v>
      </c>
    </row>
    <row r="11">
      <c r="A11" s="9" t="s">
        <v>51</v>
      </c>
      <c r="B11" s="9">
        <v>2.0</v>
      </c>
      <c r="C11" s="9">
        <v>2.0</v>
      </c>
      <c r="D11" s="9">
        <v>2.0</v>
      </c>
      <c r="F11" s="9">
        <v>6.0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